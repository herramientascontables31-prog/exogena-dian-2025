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3135" windowWidth="29040" windowHeight="15720" tabRatio="873" firstSheet="0" activeTab="0" autoFilterDateGrouping="1"/>
  </bookViews>
  <sheets>
    <sheet xmlns:r="http://schemas.openxmlformats.org/officeDocument/2006/relationships" name="110" sheetId="1" state="visible" r:id="rId1"/>
  </sheets>
  <calcPr calcId="191029" fullCalcOnLoad="1"/>
</workbook>
</file>

<file path=xl/styles.xml><?xml version="1.0" encoding="utf-8"?>
<styleSheet xmlns="http://schemas.openxmlformats.org/spreadsheetml/2006/main">
  <numFmts count="18">
    <numFmt numFmtId="164" formatCode="##,##0.00_);[Red]\(##,##0.00\)"/>
    <numFmt numFmtId="165" formatCode="_(* #,##0_);_(* \(#,##0\);_(* &quot;-&quot;??_);_(@_)"/>
    <numFmt numFmtId="166" formatCode="##,##0_);[Red]\(##,##0\)"/>
    <numFmt numFmtId="167" formatCode="_-* #,##0_-;\-* #,##0_-;_-* &quot;-&quot;??_-;_-@_-"/>
    <numFmt numFmtId="168" formatCode="0_ ;\-0\ "/>
    <numFmt numFmtId="169" formatCode="#,##0_ ;[Red]\-#,##0\ "/>
    <numFmt numFmtId="170" formatCode=";;;"/>
    <numFmt numFmtId="171" formatCode="#,##0_ ;\-#,##0\ "/>
    <numFmt numFmtId="172" formatCode="_-* #,##0_-;\-* #,##0_-;_-* &quot;-&quot;_-;_-@_-"/>
    <numFmt numFmtId="173" formatCode="#,##0.00;[Red]#,##0.00"/>
    <numFmt numFmtId="174" formatCode="_-* #,##0.00_-;\-* #,##0.00_-;_-* &quot;-&quot;??_-;_-@_-"/>
    <numFmt numFmtId="175" formatCode="#,###,"/>
    <numFmt numFmtId="176" formatCode="_ * #,##0_ ;_ * \-#,##0_ ;_ * &quot;-&quot;??_ ;_ @_ "/>
    <numFmt numFmtId="177" formatCode="_(* #,##0.0_);_(* \(#,##0.0\);_(* &quot;-&quot;??_);_(@_)"/>
    <numFmt numFmtId="178" formatCode="_-* #,##0.000_-;\-* #,##0.000_-;_-* &quot;-&quot;??_-;_-@_-"/>
    <numFmt numFmtId="179" formatCode="0.0%"/>
    <numFmt numFmtId="180" formatCode="_-* #,##0.00\ _€_-;\-* #,##0.00\ _€_-;_-* &quot;-&quot;??\ _€_-;_-@_-"/>
    <numFmt numFmtId="181" formatCode="[$-C0A]mmmm\-yy;@"/>
  </numFmts>
  <fonts count="119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Verdana   "/>
      <b val="1"/>
      <sz val="10"/>
    </font>
    <font>
      <name val="Verdana   "/>
      <b val="1"/>
      <sz val="18"/>
    </font>
    <font>
      <name val="Verdana   "/>
      <b val="1"/>
      <color theme="0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sz val="10"/>
    </font>
    <font>
      <name val="Cambria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2"/>
      <scheme val="minor"/>
    </font>
    <font>
      <name val="Calibri"/>
      <family val="2"/>
      <color rgb="FF9C0006"/>
      <sz val="12"/>
      <scheme val="minor"/>
    </font>
    <font>
      <name val="Calibri"/>
      <family val="2"/>
      <color rgb="FF9C6500"/>
      <sz val="12"/>
      <scheme val="minor"/>
    </font>
    <font>
      <name val="Calibri"/>
      <family val="2"/>
      <color rgb="FF3F3F76"/>
      <sz val="12"/>
      <scheme val="minor"/>
    </font>
    <font>
      <name val="Calibri"/>
      <family val="2"/>
      <b val="1"/>
      <color rgb="FF3F3F3F"/>
      <sz val="12"/>
      <scheme val="minor"/>
    </font>
    <font>
      <name val="Calibri"/>
      <family val="2"/>
      <b val="1"/>
      <color rgb="FFFA7D00"/>
      <sz val="12"/>
      <scheme val="minor"/>
    </font>
    <font>
      <name val="Calibri"/>
      <family val="2"/>
      <color rgb="FFFA7D00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i val="1"/>
      <color rgb="FF7F7F7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0"/>
      <sz val="12"/>
      <scheme val="minor"/>
    </font>
    <font>
      <name val="Arial"/>
      <family val="2"/>
      <b val="1"/>
      <sz val="8"/>
    </font>
    <font>
      <name val="Arial"/>
      <family val="2"/>
      <b val="1"/>
      <color theme="1"/>
      <sz val="10"/>
    </font>
    <font>
      <name val="Verdana   "/>
      <sz val="10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color rgb="FF000000"/>
      <sz val="11"/>
      <scheme val="minor"/>
    </font>
    <font>
      <name val="Arial Narrow"/>
      <family val="2"/>
      <b val="1"/>
      <sz val="10"/>
    </font>
    <font>
      <name val="Arial Narrow"/>
      <family val="2"/>
      <sz val="10"/>
    </font>
    <font>
      <name val="Arial"/>
      <family val="2"/>
      <b val="1"/>
      <color rgb="FF2B2D45"/>
      <sz val="12"/>
    </font>
    <font>
      <name val="Arial"/>
      <family val="2"/>
      <color rgb="FF2B2D45"/>
      <sz val="12"/>
    </font>
    <font>
      <name val="Arial Narrow"/>
      <family val="2"/>
      <b val="1"/>
      <color indexed="9"/>
      <sz val="16"/>
    </font>
    <font>
      <name val="Calibri"/>
      <family val="2"/>
      <color theme="1"/>
      <sz val="10"/>
      <scheme val="minor"/>
    </font>
    <font>
      <name val="Arial"/>
      <family val="2"/>
      <b val="1"/>
      <sz val="10"/>
    </font>
    <font>
      <name val="Arial"/>
      <family val="2"/>
      <color theme="0" tint="-0.3499862666707358"/>
      <sz val="10"/>
    </font>
    <font>
      <name val="Arial"/>
      <family val="2"/>
      <b val="1"/>
      <color theme="0" tint="-0.3499862666707358"/>
      <sz val="10"/>
    </font>
    <font>
      <name val="Arial"/>
      <family val="2"/>
      <b val="1"/>
      <color rgb="FFFF7979"/>
      <sz val="10"/>
    </font>
    <font>
      <name val="Calibri"/>
      <family val="2"/>
      <b val="1"/>
      <color theme="0" tint="-0.3499862666707358"/>
      <sz val="10"/>
      <u val="single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FF0000"/>
      <sz val="10"/>
    </font>
    <font>
      <name val="Arial"/>
      <family val="2"/>
      <color theme="1"/>
      <sz val="10"/>
    </font>
    <font>
      <name val="Arial"/>
      <family val="2"/>
      <color indexed="17"/>
      <sz val="10"/>
    </font>
    <font>
      <name val="Geneva"/>
      <color indexed="81"/>
      <sz val="6"/>
    </font>
    <font>
      <name val="Arial"/>
      <family val="2"/>
      <color theme="1"/>
      <sz val="12"/>
    </font>
    <font>
      <name val="Arial"/>
      <family val="2"/>
      <b val="1"/>
      <color rgb="FF2B2D45"/>
      <sz val="16"/>
    </font>
    <font>
      <name val="Arial"/>
      <family val="2"/>
      <color theme="1"/>
      <sz val="14"/>
    </font>
    <font>
      <name val="Arial"/>
      <family val="2"/>
      <b val="1"/>
      <color theme="1"/>
      <sz val="12"/>
    </font>
    <font>
      <name val="Arial"/>
      <family val="2"/>
      <color theme="1"/>
      <sz val="11"/>
    </font>
    <font>
      <name val="Arial"/>
      <family val="2"/>
      <b val="1"/>
      <color theme="0"/>
      <sz val="11"/>
    </font>
    <font>
      <name val="Arial"/>
      <family val="2"/>
      <b val="1"/>
      <color theme="1"/>
      <sz val="11"/>
    </font>
    <font>
      <name val="Arial"/>
      <family val="2"/>
      <color rgb="FFFF0000"/>
      <sz val="11"/>
    </font>
    <font>
      <name val="Arial"/>
      <family val="2"/>
      <sz val="11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b val="1"/>
      <color rgb="FF2B2D45"/>
      <sz val="22"/>
    </font>
    <font>
      <name val="Calibri"/>
      <family val="2"/>
      <color rgb="FF2B2D45"/>
      <sz val="22"/>
      <scheme val="minor"/>
    </font>
    <font>
      <name val="Arial"/>
      <family val="2"/>
      <b val="1"/>
      <color theme="0"/>
      <sz val="10"/>
    </font>
    <font>
      <name val="Calibri"/>
      <family val="2"/>
      <color theme="0"/>
      <sz val="10"/>
      <scheme val="minor"/>
    </font>
    <font>
      <name val="Arial"/>
      <family val="2"/>
      <b val="1"/>
      <sz val="11"/>
    </font>
    <font>
      <name val="Arial"/>
      <family val="2"/>
      <b val="1"/>
      <color rgb="FFFF0000"/>
      <sz val="11"/>
    </font>
    <font>
      <name val="Arial"/>
      <family val="2"/>
      <color rgb="FF000000"/>
      <sz val="11"/>
    </font>
    <font>
      <name val="Arial"/>
      <family val="2"/>
      <color theme="2" tint="-0.249977111117893"/>
      <sz val="11"/>
    </font>
    <font>
      <name val="Arial"/>
      <family val="2"/>
      <color rgb="FFFF0000"/>
      <sz val="14"/>
    </font>
    <font>
      <name val="Arial"/>
      <family val="2"/>
      <color theme="0"/>
      <sz val="11"/>
    </font>
    <font>
      <name val="Arial"/>
      <family val="2"/>
      <b val="1"/>
      <color theme="0"/>
      <sz val="12"/>
    </font>
    <font>
      <name val="Calibri"/>
      <family val="2"/>
      <color rgb="FF000000"/>
      <sz val="11"/>
    </font>
    <font>
      <name val="Arial"/>
      <family val="2"/>
      <b val="1"/>
      <color rgb="FF2B2D45"/>
      <sz val="20"/>
    </font>
    <font>
      <name val="Calibri"/>
      <family val="2"/>
      <color rgb="FF2B2D45"/>
      <sz val="20"/>
      <scheme val="minor"/>
    </font>
    <font>
      <name val="Calibri"/>
      <family val="2"/>
      <color rgb="FFFF0000"/>
      <sz val="11"/>
    </font>
    <font>
      <name val="Calibri"/>
      <family val="2"/>
      <color rgb="FF000000"/>
      <sz val="10"/>
    </font>
    <font>
      <name val="Calibri"/>
      <family val="2"/>
      <b val="1"/>
      <color rgb="FF1A1A1A"/>
      <sz val="11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sz val="11"/>
      <scheme val="minor"/>
    </font>
    <font>
      <name val="Calibri"/>
      <family val="2"/>
      <color theme="0" tint="-0.249977111117893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color rgb="FF00B0F0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1A1A1A"/>
      <sz val="11"/>
    </font>
    <font>
      <name val="Calibri"/>
      <family val="2"/>
      <b val="1"/>
      <sz val="11"/>
    </font>
    <font>
      <name val="Calibri"/>
      <family val="2"/>
      <color rgb="FFE85E42"/>
      <sz val="11"/>
    </font>
    <font>
      <name val="Cambria"/>
      <family val="2"/>
      <color theme="0"/>
      <sz val="11"/>
      <scheme val="major"/>
    </font>
    <font>
      <name val="Cambria"/>
      <family val="2"/>
      <b val="1"/>
      <color theme="1"/>
      <sz val="11"/>
      <scheme val="major"/>
    </font>
    <font>
      <name val="Cambria"/>
      <family val="2"/>
      <color theme="1"/>
      <sz val="11"/>
      <scheme val="major"/>
    </font>
    <font>
      <name val="Cambria"/>
      <family val="2"/>
      <b val="1"/>
      <color theme="1"/>
      <sz val="10"/>
      <scheme val="major"/>
    </font>
    <font>
      <name val="Calibri"/>
      <family val="2"/>
      <color indexed="8"/>
      <sz val="11"/>
    </font>
    <font>
      <name val="Calibri"/>
      <family val="2"/>
      <b val="1"/>
      <color theme="0"/>
      <sz val="11"/>
    </font>
    <font>
      <name val="Calibri Light"/>
      <family val="2"/>
      <b val="1"/>
      <color theme="1"/>
      <sz val="11"/>
    </font>
    <font>
      <name val="Calibri Light"/>
      <family val="2"/>
      <color theme="1"/>
      <sz val="11"/>
    </font>
    <font>
      <name val="Cambria"/>
      <family val="2"/>
      <color rgb="FFFF0000"/>
      <sz val="11"/>
      <scheme val="major"/>
    </font>
    <font>
      <name val="Cambria"/>
      <family val="2"/>
      <color theme="1"/>
      <sz val="16"/>
      <scheme val="major"/>
    </font>
    <font>
      <name val="Calibri"/>
      <family val="2"/>
      <b val="1"/>
      <color theme="1"/>
      <sz val="18"/>
      <scheme val="minor"/>
    </font>
    <font>
      <name val="Arial"/>
      <family val="2"/>
      <b val="1"/>
      <color rgb="FFC00000"/>
      <sz val="12"/>
    </font>
    <font>
      <name val="Calibri"/>
      <family val="2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rgb="FF000000"/>
      <sz val="12"/>
    </font>
    <font>
      <name val="Calibri"/>
      <family val="2"/>
      <color rgb="FF000000"/>
      <sz val="12"/>
    </font>
    <font>
      <name val="Arial"/>
      <family val="2"/>
      <b val="1"/>
      <color rgb="FF2B2D45"/>
      <sz val="18"/>
    </font>
    <font>
      <name val="Calibri"/>
      <family val="2"/>
      <color rgb="FF2B2D45"/>
      <sz val="18"/>
      <scheme val="minor"/>
    </font>
    <font>
      <name val="Arial"/>
      <family val="2"/>
      <b val="1"/>
      <color theme="1"/>
      <sz val="16"/>
    </font>
    <font>
      <name val="Calibri"/>
      <family val="2"/>
      <color rgb="FF000000"/>
      <sz val="12"/>
    </font>
    <font>
      <name val="Calibri"/>
      <family val="2"/>
      <color theme="10"/>
      <sz val="11"/>
      <u val="single"/>
      <scheme val="minor"/>
    </font>
    <font>
      <name val="Cambria"/>
      <family val="2"/>
      <sz val="11"/>
      <scheme val="major"/>
    </font>
    <font>
      <name val="Cambria"/>
      <family val="2"/>
      <b val="1"/>
      <sz val="11"/>
      <scheme val="major"/>
    </font>
    <font>
      <name val="Calibri"/>
      <b val="1"/>
      <color rgb="FF1A1A1A"/>
      <sz val="11"/>
    </font>
  </fonts>
  <fills count="81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32FA3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00AAE4"/>
      </patternFill>
    </fill>
    <fill>
      <patternFill patternType="solid">
        <fgColor rgb="FFD0E0E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E1F0F7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3864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B1B0B0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DCDCDC"/>
      </patternFill>
    </fill>
    <fill>
      <patternFill patternType="solid">
        <fgColor rgb="FFE66A38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3CCFF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66CC"/>
        <bgColor indexed="64"/>
      </patternFill>
    </fill>
  </fills>
  <borders count="1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rgb="FFCEE1F4"/>
      </left>
      <right style="medium">
        <color rgb="FFCEE1F4"/>
      </right>
      <top style="medium">
        <color rgb="FFCEE1F4"/>
      </top>
      <bottom style="medium">
        <color rgb="FFCEE1F4"/>
      </bottom>
      <diagonal/>
    </border>
    <border>
      <left style="medium">
        <color rgb="FFEEEEEE"/>
      </left>
      <right style="medium">
        <color rgb="FFCEE1F4"/>
      </right>
      <top style="medium">
        <color rgb="FFEEEEEE"/>
      </top>
      <bottom style="medium">
        <color rgb="FFCEE1F4"/>
      </bottom>
      <diagonal/>
    </border>
    <border>
      <left style="medium">
        <color rgb="FFCEE1F4"/>
      </left>
      <right style="medium">
        <color rgb="FFCEE1F4"/>
      </right>
      <top style="medium">
        <color rgb="FFEEEEEE"/>
      </top>
      <bottom style="medium">
        <color rgb="FFCEE1F4"/>
      </bottom>
      <diagonal/>
    </border>
    <border>
      <left style="medium">
        <color rgb="FFCEE1F4"/>
      </left>
      <right style="medium">
        <color rgb="FFEEEEEE"/>
      </right>
      <top style="medium">
        <color rgb="FFEEEEEE"/>
      </top>
      <bottom style="medium">
        <color rgb="FFCEE1F4"/>
      </bottom>
      <diagonal/>
    </border>
    <border>
      <left style="medium">
        <color rgb="FFEEEEEE"/>
      </left>
      <right style="medium">
        <color rgb="FFCEE1F4"/>
      </right>
      <top style="medium">
        <color rgb="FFCEE1F4"/>
      </top>
      <bottom style="medium">
        <color rgb="FFCEE1F4"/>
      </bottom>
      <diagonal/>
    </border>
    <border>
      <left style="medium">
        <color rgb="FFCEE1F4"/>
      </left>
      <right style="medium">
        <color rgb="FFEEEEEE"/>
      </right>
      <top style="medium">
        <color rgb="FFCEE1F4"/>
      </top>
      <bottom style="medium">
        <color rgb="FFCEE1F4"/>
      </bottom>
      <diagonal/>
    </border>
    <border>
      <left style="medium">
        <color rgb="FFEEEEEE"/>
      </left>
      <right style="medium">
        <color rgb="FFCEE1F4"/>
      </right>
      <top style="medium">
        <color rgb="FFCEE1F4"/>
      </top>
      <bottom style="medium">
        <color rgb="FFEEEEEE"/>
      </bottom>
      <diagonal/>
    </border>
    <border>
      <left style="medium">
        <color rgb="FFCEE1F4"/>
      </left>
      <right style="medium">
        <color rgb="FFCEE1F4"/>
      </right>
      <top style="medium">
        <color rgb="FFCEE1F4"/>
      </top>
      <bottom style="medium">
        <color rgb="FFEEEEEE"/>
      </bottom>
      <diagonal/>
    </border>
    <border>
      <left style="medium">
        <color rgb="FFCEE1F4"/>
      </left>
      <right style="medium">
        <color rgb="FFEEEEEE"/>
      </right>
      <top style="medium">
        <color rgb="FFCEE1F4"/>
      </top>
      <bottom style="medium">
        <color rgb="FFEEEEEE"/>
      </bottom>
      <diagonal/>
    </border>
    <border>
      <left style="thin">
        <color rgb="FF2B2D45"/>
      </left>
      <right/>
      <top style="thin">
        <color rgb="FF2B2D45"/>
      </top>
      <bottom/>
      <diagonal/>
    </border>
    <border>
      <left/>
      <right/>
      <top style="thin">
        <color rgb="FF2B2D45"/>
      </top>
      <bottom/>
      <diagonal/>
    </border>
    <border>
      <left/>
      <right style="thin">
        <color rgb="FF2B2D45"/>
      </right>
      <top style="thin">
        <color rgb="FF2B2D45"/>
      </top>
      <bottom/>
      <diagonal/>
    </border>
    <border>
      <left style="thin">
        <color rgb="FF2B2D45"/>
      </left>
      <right style="thin">
        <color rgb="FF2B2D45"/>
      </right>
      <top style="thin">
        <color rgb="FF2B2D45"/>
      </top>
      <bottom style="thin">
        <color rgb="FF2B2D45"/>
      </bottom>
      <diagonal/>
    </border>
    <border>
      <left style="thin">
        <color rgb="FF2B2D45"/>
      </left>
      <right/>
      <top/>
      <bottom/>
      <diagonal/>
    </border>
    <border>
      <left/>
      <right style="thin">
        <color rgb="FF2B2D45"/>
      </right>
      <top/>
      <bottom/>
      <diagonal/>
    </border>
    <border>
      <left style="thin">
        <color rgb="FF2B2D45"/>
      </left>
      <right/>
      <top/>
      <bottom style="thin">
        <color rgb="FF2B2D45"/>
      </bottom>
      <diagonal/>
    </border>
    <border>
      <left/>
      <right/>
      <top/>
      <bottom style="thin">
        <color rgb="FF2B2D45"/>
      </bottom>
      <diagonal/>
    </border>
    <border>
      <left/>
      <right style="thin">
        <color rgb="FF2B2D45"/>
      </right>
      <top/>
      <bottom style="thin">
        <color rgb="FF2B2D45"/>
      </bottom>
      <diagonal/>
    </border>
    <border>
      <left style="thin">
        <color indexed="17"/>
      </left>
      <right/>
      <top/>
      <bottom/>
      <diagonal/>
    </border>
    <border>
      <left style="thin">
        <color indexed="64"/>
      </left>
      <right style="thin">
        <color rgb="FF00B050"/>
      </right>
      <top style="thin">
        <color indexed="64"/>
      </top>
      <bottom style="thin">
        <color rgb="FF00B050"/>
      </bottom>
      <diagonal/>
    </border>
    <border>
      <left style="thin">
        <color rgb="FF00B050"/>
      </left>
      <right style="thin">
        <color rgb="FF00B050"/>
      </right>
      <top style="thin">
        <color indexed="64"/>
      </top>
      <bottom style="thin">
        <color rgb="FF00B050"/>
      </bottom>
      <diagonal/>
    </border>
    <border>
      <left style="thin">
        <color rgb="FF00B050"/>
      </left>
      <right/>
      <top style="thin">
        <color indexed="64"/>
      </top>
      <bottom style="thin">
        <color rgb="FF00B050"/>
      </bottom>
      <diagonal/>
    </border>
    <border>
      <left style="thin">
        <color indexed="64"/>
      </left>
      <right style="thin">
        <color rgb="FF00B050"/>
      </right>
      <top style="thin">
        <color rgb="FF00B050"/>
      </top>
      <bottom/>
      <diagonal/>
    </border>
    <border>
      <left style="thin">
        <color rgb="FF00B050"/>
      </left>
      <right style="thin">
        <color rgb="FF00B050"/>
      </right>
      <top style="thin">
        <color rgb="FF00B050"/>
      </top>
      <bottom/>
      <diagonal/>
    </border>
    <border>
      <left style="thin">
        <color rgb="FF00B050"/>
      </left>
      <right/>
      <top style="thin">
        <color rgb="FF00B050"/>
      </top>
      <bottom/>
      <diagonal/>
    </border>
    <border>
      <left style="thin">
        <color indexed="64"/>
      </left>
      <right style="thin">
        <color rgb="FF00B050"/>
      </right>
      <top/>
      <bottom style="thin">
        <color rgb="FF00B050"/>
      </bottom>
      <diagonal/>
    </border>
    <border>
      <left style="thin">
        <color rgb="FF00B050"/>
      </left>
      <right style="thin">
        <color rgb="FF00B050"/>
      </right>
      <top/>
      <bottom style="thin">
        <color rgb="FF00B050"/>
      </bottom>
      <diagonal/>
    </border>
    <border>
      <left style="thin">
        <color rgb="FF00B050"/>
      </left>
      <right style="thin">
        <color indexed="64"/>
      </right>
      <top/>
      <bottom style="thin">
        <color rgb="FF00B050"/>
      </bottom>
      <diagonal/>
    </border>
    <border>
      <left style="thin">
        <color indexed="64"/>
      </left>
      <right style="thin">
        <color rgb="FF00B050"/>
      </right>
      <top style="thin">
        <color rgb="FF00B050"/>
      </top>
      <bottom style="thin">
        <color rgb="FF00B050"/>
      </bottom>
      <diagonal/>
    </border>
    <border>
      <left style="thin">
        <color rgb="FF00B050"/>
      </left>
      <right style="thin">
        <color rgb="FF00B050"/>
      </right>
      <top style="thin">
        <color rgb="FF00B050"/>
      </top>
      <bottom style="thin">
        <color rgb="FF00B050"/>
      </bottom>
      <diagonal/>
    </border>
    <border>
      <left style="thin">
        <color rgb="FF00B050"/>
      </left>
      <right style="thin">
        <color indexed="64"/>
      </right>
      <top style="thin">
        <color rgb="FF00B050"/>
      </top>
      <bottom style="thin">
        <color rgb="FF00B050"/>
      </bottom>
      <diagonal/>
    </border>
    <border>
      <left style="thin">
        <color indexed="64"/>
      </left>
      <right style="thin">
        <color rgb="FF00B050"/>
      </right>
      <top style="thin">
        <color rgb="FF00B050"/>
      </top>
      <bottom style="thin">
        <color indexed="64"/>
      </bottom>
      <diagonal/>
    </border>
    <border>
      <left style="thin">
        <color rgb="FF00B050"/>
      </left>
      <right style="thin">
        <color rgb="FF00B050"/>
      </right>
      <top style="thin">
        <color rgb="FF00B050"/>
      </top>
      <bottom style="thin">
        <color indexed="64"/>
      </bottom>
      <diagonal/>
    </border>
    <border>
      <left style="thin">
        <color rgb="FF00B050"/>
      </left>
      <right style="thin">
        <color indexed="64"/>
      </right>
      <top style="thin">
        <color rgb="FF00B05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B050"/>
      </bottom>
      <diagonal/>
    </border>
    <border>
      <left style="thin">
        <color indexed="64"/>
      </left>
      <right style="thin">
        <color indexed="64"/>
      </right>
      <top style="thin">
        <color rgb="FF00B050"/>
      </top>
      <bottom style="thin">
        <color rgb="FF00B050"/>
      </bottom>
      <diagonal/>
    </border>
    <border>
      <left style="thin">
        <color rgb="FF2B2D45"/>
      </left>
      <right style="thin">
        <color rgb="FF2B2D45"/>
      </right>
      <top/>
      <bottom style="thin">
        <color rgb="FF2B2D45"/>
      </bottom>
      <diagonal/>
    </border>
    <border>
      <left style="thin">
        <color rgb="FF2B2D45"/>
      </left>
      <right style="thin">
        <color rgb="FF2B2D45"/>
      </right>
      <top style="thin">
        <color rgb="FF2B2D45"/>
      </top>
      <bottom/>
      <diagonal/>
    </border>
    <border>
      <left style="thin">
        <color indexed="64"/>
      </left>
      <right style="thin">
        <color indexed="64"/>
      </right>
      <top style="thin">
        <color rgb="FF00B050"/>
      </top>
      <bottom style="thin">
        <color indexed="64"/>
      </bottom>
      <diagonal/>
    </border>
    <border>
      <left/>
      <right style="thin">
        <color indexed="17"/>
      </right>
      <top/>
      <bottom/>
      <diagonal/>
    </border>
    <border>
      <left style="thin">
        <color indexed="64"/>
      </left>
      <right/>
      <top/>
      <bottom style="thin">
        <color indexed="17"/>
      </bottom>
      <diagonal/>
    </border>
    <border>
      <left/>
      <right/>
      <top/>
      <bottom style="thin">
        <color indexed="17"/>
      </bottom>
      <diagonal/>
    </border>
    <border>
      <left/>
      <right style="thin">
        <color indexed="17"/>
      </right>
      <top/>
      <bottom style="thin">
        <color indexed="64"/>
      </bottom>
      <diagonal/>
    </border>
    <border>
      <left style="thin">
        <color indexed="17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"/>
      </bottom>
      <diagonal/>
    </border>
    <border>
      <left/>
      <right/>
      <top style="thin">
        <color theme="4" tint="0.3999755851924192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auto="1"/>
      </bottom>
      <diagonal/>
    </border>
    <border>
      <left/>
      <right/>
      <top style="double">
        <color theme="4"/>
      </top>
      <bottom style="thin">
        <color theme="4" tint="0.3999755851924192"/>
      </bottom>
      <diagonal/>
    </border>
    <border>
      <left style="thin">
        <color indexed="17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17"/>
      </bottom>
      <diagonal/>
    </border>
    <border>
      <left style="thin">
        <color indexed="64"/>
      </left>
      <right style="thin">
        <color indexed="64"/>
      </right>
      <top/>
      <bottom style="thin">
        <color rgb="FF00B050"/>
      </bottom>
      <diagonal/>
    </border>
    <border>
      <left/>
      <right style="thin">
        <color rgb="FF00B050"/>
      </right>
      <top style="thin">
        <color indexed="64"/>
      </top>
      <bottom/>
      <diagonal/>
    </border>
    <border>
      <left/>
      <right style="thin">
        <color rgb="FF00B050"/>
      </right>
      <top/>
      <bottom/>
      <diagonal/>
    </border>
    <border>
      <left style="thin">
        <color indexed="64"/>
      </left>
      <right/>
      <top/>
      <bottom style="thin">
        <color rgb="FF00B050"/>
      </bottom>
      <diagonal/>
    </border>
    <border>
      <left/>
      <right/>
      <top/>
      <bottom style="thin">
        <color rgb="FF00B050"/>
      </bottom>
      <diagonal/>
    </border>
    <border>
      <left/>
      <right style="thin">
        <color rgb="FF00B050"/>
      </right>
      <top/>
      <bottom style="thin">
        <color rgb="FF00B050"/>
      </bottom>
      <diagonal/>
    </border>
    <border>
      <left style="thin">
        <color rgb="FF2B2D45"/>
      </left>
      <right/>
      <top style="thin">
        <color rgb="FF2B2D45"/>
      </top>
      <bottom style="thin">
        <color rgb="FF2B2D45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medium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indexed="64"/>
      </top>
      <bottom/>
      <diagonal/>
    </border>
    <border>
      <left/>
      <right style="medium">
        <color auto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13">
    <xf numFmtId="0" fontId="3" fillId="0" borderId="0"/>
    <xf numFmtId="43" fontId="3" fillId="0" borderId="0"/>
    <xf numFmtId="41" fontId="3" fillId="0" borderId="0"/>
    <xf numFmtId="9" fontId="3" fillId="0" borderId="0"/>
    <xf numFmtId="0" fontId="9" fillId="0" borderId="0"/>
    <xf numFmtId="180" fontId="9" fillId="0" borderId="0"/>
    <xf numFmtId="0" fontId="10" fillId="0" borderId="0"/>
    <xf numFmtId="0" fontId="11" fillId="0" borderId="22"/>
    <xf numFmtId="0" fontId="12" fillId="0" borderId="23"/>
    <xf numFmtId="0" fontId="13" fillId="0" borderId="24"/>
    <xf numFmtId="0" fontId="13" fillId="0" borderId="0"/>
    <xf numFmtId="0" fontId="14" fillId="11" borderId="0"/>
    <xf numFmtId="0" fontId="15" fillId="12" borderId="0"/>
    <xf numFmtId="0" fontId="16" fillId="13" borderId="0"/>
    <xf numFmtId="0" fontId="17" fillId="14" borderId="25"/>
    <xf numFmtId="0" fontId="18" fillId="15" borderId="26"/>
    <xf numFmtId="0" fontId="19" fillId="15" borderId="25"/>
    <xf numFmtId="0" fontId="20" fillId="0" borderId="27"/>
    <xf numFmtId="0" fontId="21" fillId="16" borderId="28"/>
    <xf numFmtId="0" fontId="22" fillId="0" borderId="0"/>
    <xf numFmtId="0" fontId="23" fillId="0" borderId="0"/>
    <xf numFmtId="0" fontId="24" fillId="0" borderId="30"/>
    <xf numFmtId="0" fontId="25" fillId="18" borderId="0"/>
    <xf numFmtId="0" fontId="2" fillId="19" borderId="0"/>
    <xf numFmtId="0" fontId="2" fillId="20" borderId="0"/>
    <xf numFmtId="0" fontId="25" fillId="21" borderId="0"/>
    <xf numFmtId="0" fontId="25" fillId="22" borderId="0"/>
    <xf numFmtId="0" fontId="2" fillId="23" borderId="0"/>
    <xf numFmtId="0" fontId="2" fillId="24" borderId="0"/>
    <xf numFmtId="0" fontId="25" fillId="25" borderId="0"/>
    <xf numFmtId="0" fontId="25" fillId="26" borderId="0"/>
    <xf numFmtId="0" fontId="2" fillId="27" borderId="0"/>
    <xf numFmtId="0" fontId="2" fillId="28" borderId="0"/>
    <xf numFmtId="0" fontId="25" fillId="29" borderId="0"/>
    <xf numFmtId="0" fontId="25" fillId="30" borderId="0"/>
    <xf numFmtId="0" fontId="2" fillId="31" borderId="0"/>
    <xf numFmtId="0" fontId="2" fillId="32" borderId="0"/>
    <xf numFmtId="0" fontId="25" fillId="33" borderId="0"/>
    <xf numFmtId="0" fontId="25" fillId="34" borderId="0"/>
    <xf numFmtId="0" fontId="2" fillId="35" borderId="0"/>
    <xf numFmtId="0" fontId="2" fillId="36" borderId="0"/>
    <xf numFmtId="0" fontId="25" fillId="37" borderId="0"/>
    <xf numFmtId="0" fontId="25" fillId="38" borderId="0"/>
    <xf numFmtId="0" fontId="2" fillId="39" borderId="0"/>
    <xf numFmtId="0" fontId="2" fillId="40" borderId="0"/>
    <xf numFmtId="0" fontId="25" fillId="41" borderId="0"/>
    <xf numFmtId="0" fontId="28" fillId="0" borderId="0"/>
    <xf numFmtId="0" fontId="2" fillId="17" borderId="29"/>
    <xf numFmtId="0" fontId="2" fillId="17" borderId="29"/>
    <xf numFmtId="0" fontId="2" fillId="19" borderId="0"/>
    <xf numFmtId="0" fontId="2" fillId="20" borderId="0"/>
    <xf numFmtId="0" fontId="2" fillId="23" borderId="0"/>
    <xf numFmtId="0" fontId="2" fillId="24" borderId="0"/>
    <xf numFmtId="0" fontId="2" fillId="27" borderId="0"/>
    <xf numFmtId="0" fontId="2" fillId="28" borderId="0"/>
    <xf numFmtId="0" fontId="2" fillId="31" borderId="0"/>
    <xf numFmtId="0" fontId="2" fillId="32" borderId="0"/>
    <xf numFmtId="0" fontId="2" fillId="35" borderId="0"/>
    <xf numFmtId="0" fontId="2" fillId="36" borderId="0"/>
    <xf numFmtId="0" fontId="2" fillId="39" borderId="0"/>
    <xf numFmtId="0" fontId="2" fillId="40" borderId="0"/>
    <xf numFmtId="0" fontId="3" fillId="17" borderId="29"/>
    <xf numFmtId="0" fontId="29" fillId="11" borderId="0"/>
    <xf numFmtId="0" fontId="30" fillId="12" borderId="0"/>
    <xf numFmtId="0" fontId="31" fillId="13" borderId="0"/>
    <xf numFmtId="0" fontId="32" fillId="14" borderId="25"/>
    <xf numFmtId="0" fontId="33" fillId="15" borderId="26"/>
    <xf numFmtId="0" fontId="34" fillId="15" borderId="25"/>
    <xf numFmtId="0" fontId="35" fillId="0" borderId="27"/>
    <xf numFmtId="0" fontId="7" fillId="16" borderId="28"/>
    <xf numFmtId="0" fontId="36" fillId="0" borderId="0"/>
    <xf numFmtId="0" fontId="37" fillId="0" borderId="0"/>
    <xf numFmtId="0" fontId="8" fillId="0" borderId="30"/>
    <xf numFmtId="0" fontId="38" fillId="18" borderId="0"/>
    <xf numFmtId="0" fontId="3" fillId="19" borderId="0"/>
    <xf numFmtId="0" fontId="3" fillId="20" borderId="0"/>
    <xf numFmtId="0" fontId="3" fillId="21" borderId="0"/>
    <xf numFmtId="0" fontId="38" fillId="22" borderId="0"/>
    <xf numFmtId="0" fontId="3" fillId="23" borderId="0"/>
    <xf numFmtId="0" fontId="3" fillId="24" borderId="0"/>
    <xf numFmtId="0" fontId="3" fillId="25" borderId="0"/>
    <xf numFmtId="0" fontId="38" fillId="26" borderId="0"/>
    <xf numFmtId="0" fontId="3" fillId="27" borderId="0"/>
    <xf numFmtId="0" fontId="3" fillId="28" borderId="0"/>
    <xf numFmtId="0" fontId="3" fillId="29" borderId="0"/>
    <xf numFmtId="0" fontId="38" fillId="30" borderId="0"/>
    <xf numFmtId="0" fontId="3" fillId="31" borderId="0"/>
    <xf numFmtId="0" fontId="3" fillId="32" borderId="0"/>
    <xf numFmtId="0" fontId="3" fillId="33" borderId="0"/>
    <xf numFmtId="0" fontId="38" fillId="34" borderId="0"/>
    <xf numFmtId="0" fontId="3" fillId="35" borderId="0"/>
    <xf numFmtId="0" fontId="3" fillId="36" borderId="0"/>
    <xf numFmtId="0" fontId="3" fillId="37" borderId="0"/>
    <xf numFmtId="0" fontId="38" fillId="38" borderId="0"/>
    <xf numFmtId="0" fontId="3" fillId="39" borderId="0"/>
    <xf numFmtId="0" fontId="3" fillId="40" borderId="0"/>
    <xf numFmtId="0" fontId="3" fillId="41" borderId="0"/>
    <xf numFmtId="41" fontId="3" fillId="0" borderId="0"/>
    <xf numFmtId="0" fontId="9" fillId="0" borderId="0"/>
    <xf numFmtId="43" fontId="3" fillId="0" borderId="0"/>
    <xf numFmtId="41" fontId="3" fillId="0" borderId="0"/>
    <xf numFmtId="0" fontId="79" fillId="0" borderId="0"/>
    <xf numFmtId="181" fontId="9" fillId="0" borderId="0"/>
    <xf numFmtId="0" fontId="83" fillId="0" borderId="0"/>
    <xf numFmtId="0" fontId="99" fillId="0" borderId="0"/>
    <xf numFmtId="0" fontId="2" fillId="0" borderId="0"/>
    <xf numFmtId="43" fontId="2" fillId="0" borderId="0"/>
    <xf numFmtId="43" fontId="9" fillId="0" borderId="0"/>
    <xf numFmtId="0" fontId="114" fillId="0" borderId="0"/>
    <xf numFmtId="0" fontId="115" fillId="0" borderId="0"/>
    <xf numFmtId="43" fontId="3" fillId="0" borderId="0"/>
    <xf numFmtId="0" fontId="114" fillId="0" borderId="0"/>
    <xf numFmtId="43" fontId="114" fillId="0" borderId="0"/>
  </cellStyleXfs>
  <cellXfs count="1604">
    <xf numFmtId="0" fontId="0" fillId="0" borderId="0" pivotButton="0" quotePrefix="0" xfId="0"/>
    <xf numFmtId="0" fontId="0" fillId="2" borderId="0" pivotButton="0" quotePrefix="0" xfId="0"/>
    <xf numFmtId="164" fontId="4" fillId="2" borderId="0" applyAlignment="1" pivotButton="0" quotePrefix="0" xfId="0">
      <alignment horizontal="center"/>
    </xf>
    <xf numFmtId="0" fontId="4" fillId="2" borderId="1" pivotButton="0" quotePrefix="0" xfId="0"/>
    <xf numFmtId="164" fontId="4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0" borderId="1" pivotButton="0" quotePrefix="0" xfId="1"/>
    <xf numFmtId="43" fontId="0" fillId="0" borderId="1" pivotButton="0" quotePrefix="0" xfId="1"/>
    <xf numFmtId="165" fontId="0" fillId="0" borderId="1" pivotButton="0" quotePrefix="0" xfId="1"/>
    <xf numFmtId="0" fontId="6" fillId="5" borderId="1" applyAlignment="1" pivotButton="0" quotePrefix="0" xfId="0">
      <alignment horizontal="center"/>
    </xf>
    <xf numFmtId="166" fontId="0" fillId="0" borderId="1" pivotButton="0" quotePrefix="0" xfId="2"/>
    <xf numFmtId="0" fontId="0" fillId="0" borderId="0" pivotButton="0" quotePrefix="0" xfId="1"/>
    <xf numFmtId="43" fontId="0" fillId="0" borderId="0" pivotButton="0" quotePrefix="0" xfId="1"/>
    <xf numFmtId="165" fontId="0" fillId="0" borderId="0" pivotButton="0" quotePrefix="0" xfId="1"/>
    <xf numFmtId="166" fontId="0" fillId="0" borderId="0" pivotButton="0" quotePrefix="0" xfId="2"/>
    <xf numFmtId="0" fontId="8" fillId="0" borderId="0" pivotButton="0" quotePrefix="0" xfId="1"/>
    <xf numFmtId="0" fontId="8" fillId="0" borderId="0" pivotButton="0" quotePrefix="0" xfId="0"/>
    <xf numFmtId="43" fontId="8" fillId="7" borderId="1" pivotButton="0" quotePrefix="0" xfId="1"/>
    <xf numFmtId="166" fontId="0" fillId="0" borderId="0" pivotButton="0" quotePrefix="0" xfId="0"/>
    <xf numFmtId="0" fontId="4" fillId="2" borderId="1" applyAlignment="1" pivotButton="0" quotePrefix="0" xfId="0">
      <alignment horizontal="center"/>
    </xf>
    <xf numFmtId="0" fontId="8" fillId="7" borderId="1" pivotButton="0" quotePrefix="0" xfId="0"/>
    <xf numFmtId="0" fontId="0" fillId="0" borderId="0" applyAlignment="1" pivotButton="0" quotePrefix="0" xfId="0">
      <alignment horizontal="right"/>
    </xf>
    <xf numFmtId="166" fontId="7" fillId="5" borderId="1" pivotButton="0" quotePrefix="0" xfId="2"/>
    <xf numFmtId="166" fontId="8" fillId="0" borderId="0" pivotButton="0" quotePrefix="0" xfId="0"/>
    <xf numFmtId="166" fontId="7" fillId="5" borderId="0" pivotButton="0" quotePrefix="0" xfId="0"/>
    <xf numFmtId="3" fontId="0" fillId="0" borderId="0" pivotButton="0" quotePrefix="0" xfId="0"/>
    <xf numFmtId="166" fontId="0" fillId="0" borderId="1" pivotButton="0" quotePrefix="0" xfId="2"/>
    <xf numFmtId="41" fontId="0" fillId="0" borderId="0" pivotButton="0" quotePrefix="0" xfId="2"/>
    <xf numFmtId="41" fontId="0" fillId="47" borderId="0" pivotButton="0" quotePrefix="0" xfId="2"/>
    <xf numFmtId="166" fontId="0" fillId="48" borderId="0" pivotButton="0" quotePrefix="0" xfId="0"/>
    <xf numFmtId="167" fontId="0" fillId="0" borderId="0" pivotButton="0" quotePrefix="0" xfId="0"/>
    <xf numFmtId="0" fontId="0" fillId="0" borderId="1" pivotButton="0" quotePrefix="0" xfId="1"/>
    <xf numFmtId="0" fontId="28" fillId="0" borderId="0" pivotButton="0" quotePrefix="0" xfId="46"/>
    <xf numFmtId="43" fontId="0" fillId="0" borderId="1" pivotButton="0" quotePrefix="0" xfId="1"/>
    <xf numFmtId="9" fontId="0" fillId="0" borderId="0" pivotButton="0" quotePrefix="0" xfId="0"/>
    <xf numFmtId="41" fontId="0" fillId="0" borderId="0" pivotButton="0" quotePrefix="0" xfId="97"/>
    <xf numFmtId="164" fontId="0" fillId="0" borderId="1" pivotButton="0" quotePrefix="0" xfId="5"/>
    <xf numFmtId="164" fontId="0" fillId="0" borderId="1" pivotButton="0" quotePrefix="0" xfId="5"/>
    <xf numFmtId="166" fontId="0" fillId="0" borderId="1" pivotButton="0" quotePrefix="0" xfId="5"/>
    <xf numFmtId="165" fontId="0" fillId="0" borderId="0" pivotButton="0" quotePrefix="0" xfId="1"/>
    <xf numFmtId="165" fontId="0" fillId="0" borderId="0" pivotButton="0" quotePrefix="0" xfId="0"/>
    <xf numFmtId="43" fontId="0" fillId="0" borderId="0" pivotButton="0" quotePrefix="0" xfId="1"/>
    <xf numFmtId="165" fontId="0" fillId="0" borderId="0" pivotButton="0" quotePrefix="0" xfId="1"/>
    <xf numFmtId="0" fontId="0" fillId="49" borderId="0" pivotButton="0" quotePrefix="0" xfId="0"/>
    <xf numFmtId="43" fontId="0" fillId="46" borderId="0" pivotButton="0" quotePrefix="0" xfId="1"/>
    <xf numFmtId="43" fontId="0" fillId="0" borderId="0" applyAlignment="1" pivotButton="0" quotePrefix="0" xfId="1">
      <alignment horizontal="right"/>
    </xf>
    <xf numFmtId="41" fontId="0" fillId="0" borderId="0" pivotButton="0" quotePrefix="0" xfId="2"/>
    <xf numFmtId="0" fontId="0" fillId="52" borderId="33" applyAlignment="1" pivotButton="0" quotePrefix="0" xfId="0">
      <alignment horizontal="center" vertical="center" wrapText="1"/>
    </xf>
    <xf numFmtId="0" fontId="40" fillId="52" borderId="34" applyAlignment="1" pivotButton="0" quotePrefix="0" xfId="0">
      <alignment horizontal="center" vertical="center" wrapText="1"/>
    </xf>
    <xf numFmtId="0" fontId="40" fillId="52" borderId="35" applyAlignment="1" pivotButton="0" quotePrefix="0" xfId="0">
      <alignment horizontal="center" vertical="center" wrapText="1"/>
    </xf>
    <xf numFmtId="0" fontId="40" fillId="52" borderId="36" applyAlignment="1" pivotButton="0" quotePrefix="0" xfId="0">
      <alignment horizontal="center" vertical="center" wrapText="1"/>
    </xf>
    <xf numFmtId="0" fontId="0" fillId="52" borderId="37" applyAlignment="1" pivotButton="0" quotePrefix="0" xfId="0">
      <alignment horizontal="center" vertical="center" wrapText="1"/>
    </xf>
    <xf numFmtId="0" fontId="0" fillId="52" borderId="38" applyAlignment="1" pivotButton="0" quotePrefix="0" xfId="0">
      <alignment horizontal="center" vertical="center" wrapText="1"/>
    </xf>
    <xf numFmtId="0" fontId="0" fillId="52" borderId="39" applyAlignment="1" pivotButton="0" quotePrefix="0" xfId="0">
      <alignment horizontal="center" vertical="center" wrapText="1"/>
    </xf>
    <xf numFmtId="0" fontId="0" fillId="52" borderId="40" applyAlignment="1" pivotButton="0" quotePrefix="0" xfId="0">
      <alignment horizontal="center" vertical="center" wrapText="1"/>
    </xf>
    <xf numFmtId="0" fontId="0" fillId="52" borderId="41" applyAlignment="1" pivotButton="0" quotePrefix="0" xfId="0">
      <alignment horizontal="center" vertical="center" wrapText="1"/>
    </xf>
    <xf numFmtId="0" fontId="46" fillId="0" borderId="0" pivotButton="0" quotePrefix="0" xfId="0"/>
    <xf numFmtId="0" fontId="9" fillId="53" borderId="42" pivotButton="0" quotePrefix="0" xfId="98"/>
    <xf numFmtId="0" fontId="9" fillId="53" borderId="43" pivotButton="0" quotePrefix="0" xfId="98"/>
    <xf numFmtId="0" fontId="9" fillId="53" borderId="44" pivotButton="0" quotePrefix="0" xfId="98"/>
    <xf numFmtId="0" fontId="9" fillId="42" borderId="51" pivotButton="0" quotePrefix="0" xfId="98"/>
    <xf numFmtId="0" fontId="9" fillId="42" borderId="0" pivotButton="0" quotePrefix="0" xfId="98"/>
    <xf numFmtId="0" fontId="9" fillId="53" borderId="17" pivotButton="0" quotePrefix="0" xfId="98"/>
    <xf numFmtId="0" fontId="9" fillId="53" borderId="0" pivotButton="0" quotePrefix="0" xfId="98"/>
    <xf numFmtId="0" fontId="9" fillId="53" borderId="19" pivotButton="0" quotePrefix="0" xfId="98"/>
    <xf numFmtId="0" fontId="48" fillId="53" borderId="17" applyAlignment="1" pivotButton="0" quotePrefix="0" xfId="98">
      <alignment vertical="center"/>
    </xf>
    <xf numFmtId="0" fontId="48" fillId="53" borderId="0" applyAlignment="1" pivotButton="0" quotePrefix="0" xfId="98">
      <alignment vertical="center"/>
    </xf>
    <xf numFmtId="0" fontId="48" fillId="53" borderId="19" applyAlignment="1" pivotButton="0" quotePrefix="0" xfId="98">
      <alignment vertical="center"/>
    </xf>
    <xf numFmtId="0" fontId="9" fillId="42" borderId="18" applyAlignment="1" pivotButton="0" quotePrefix="0" xfId="98">
      <alignment horizontal="left" vertical="top"/>
    </xf>
    <xf numFmtId="49" fontId="47" fillId="42" borderId="69" applyAlignment="1" applyProtection="1" pivotButton="0" quotePrefix="0" xfId="98">
      <alignment horizontal="center"/>
      <protection locked="0" hidden="0"/>
    </xf>
    <xf numFmtId="0" fontId="47" fillId="42" borderId="1" applyAlignment="1" applyProtection="1" pivotButton="0" quotePrefix="0" xfId="98">
      <alignment horizontal="center" vertical="center"/>
      <protection locked="0" hidden="0"/>
    </xf>
    <xf numFmtId="0" fontId="9" fillId="42" borderId="1" applyAlignment="1" pivotButton="0" quotePrefix="0" xfId="98">
      <alignment vertical="center" wrapText="1"/>
    </xf>
    <xf numFmtId="0" fontId="9" fillId="54" borderId="2" applyAlignment="1" pivotButton="0" quotePrefix="0" xfId="98">
      <alignment horizontal="center" vertical="center"/>
    </xf>
    <xf numFmtId="0" fontId="9" fillId="0" borderId="10" applyAlignment="1" pivotButton="0" quotePrefix="0" xfId="98">
      <alignment horizontal="center" vertical="center"/>
    </xf>
    <xf numFmtId="0" fontId="9" fillId="54" borderId="10" applyAlignment="1" pivotButton="0" quotePrefix="0" xfId="98">
      <alignment horizontal="center" vertical="center"/>
    </xf>
    <xf numFmtId="0" fontId="47" fillId="54" borderId="10" applyAlignment="1" pivotButton="0" quotePrefix="0" xfId="98">
      <alignment horizontal="center" vertical="center"/>
    </xf>
    <xf numFmtId="0" fontId="47" fillId="0" borderId="10" applyAlignment="1" pivotButton="0" quotePrefix="0" xfId="98">
      <alignment horizontal="center" vertical="center"/>
    </xf>
    <xf numFmtId="0" fontId="47" fillId="54" borderId="3" applyAlignment="1" pivotButton="0" quotePrefix="0" xfId="98">
      <alignment horizontal="center" vertical="center"/>
    </xf>
    <xf numFmtId="0" fontId="47" fillId="54" borderId="2" applyAlignment="1" pivotButton="0" quotePrefix="0" xfId="98">
      <alignment horizontal="center" vertical="center"/>
    </xf>
    <xf numFmtId="0" fontId="9" fillId="0" borderId="2" applyAlignment="1" pivotButton="0" quotePrefix="0" xfId="98">
      <alignment horizontal="center" vertical="center"/>
    </xf>
    <xf numFmtId="0" fontId="9" fillId="0" borderId="3" applyAlignment="1" pivotButton="0" quotePrefix="0" xfId="98">
      <alignment horizontal="center" vertical="center"/>
    </xf>
    <xf numFmtId="0" fontId="47" fillId="0" borderId="3" applyAlignment="1" pivotButton="0" quotePrefix="0" xfId="98">
      <alignment horizontal="center" vertical="center"/>
    </xf>
    <xf numFmtId="0" fontId="9" fillId="54" borderId="3" applyAlignment="1" pivotButton="0" quotePrefix="0" xfId="98">
      <alignment horizontal="center" vertical="center"/>
    </xf>
    <xf numFmtId="0" fontId="9" fillId="54" borderId="21" applyAlignment="1" pivotButton="0" quotePrefix="0" xfId="98">
      <alignment horizontal="left" vertical="center"/>
    </xf>
    <xf numFmtId="0" fontId="9" fillId="54" borderId="12" applyAlignment="1" pivotButton="0" quotePrefix="0" xfId="98">
      <alignment horizontal="center"/>
    </xf>
    <xf numFmtId="49" fontId="47" fillId="42" borderId="1" applyAlignment="1" pivotButton="0" quotePrefix="0" xfId="98">
      <alignment horizontal="center" vertical="center"/>
    </xf>
    <xf numFmtId="0" fontId="26" fillId="53" borderId="21" applyAlignment="1" pivotButton="0" quotePrefix="0" xfId="98">
      <alignment horizontal="center" vertical="center" wrapText="1"/>
    </xf>
    <xf numFmtId="0" fontId="47" fillId="53" borderId="12" applyAlignment="1" pivotButton="0" quotePrefix="0" xfId="98">
      <alignment horizontal="left" vertical="top" wrapText="1"/>
    </xf>
    <xf numFmtId="0" fontId="47" fillId="53" borderId="12" applyAlignment="1" pivotButton="0" quotePrefix="0" xfId="98">
      <alignment horizontal="center" vertical="top" wrapText="1"/>
    </xf>
    <xf numFmtId="0" fontId="47" fillId="53" borderId="18" applyAlignment="1" pivotButton="0" quotePrefix="0" xfId="98">
      <alignment horizontal="center" vertical="top" wrapText="1"/>
    </xf>
    <xf numFmtId="0" fontId="9" fillId="54" borderId="17" applyAlignment="1" pivotButton="0" quotePrefix="0" xfId="98">
      <alignment horizontal="left"/>
    </xf>
    <xf numFmtId="0" fontId="9" fillId="54" borderId="0" applyAlignment="1" pivotButton="0" quotePrefix="0" xfId="98">
      <alignment horizontal="left" vertical="center"/>
    </xf>
    <xf numFmtId="0" fontId="9" fillId="54" borderId="72" applyAlignment="1" pivotButton="0" quotePrefix="0" xfId="98">
      <alignment horizontal="left" vertical="center"/>
    </xf>
    <xf numFmtId="0" fontId="9" fillId="54" borderId="51" applyAlignment="1" pivotButton="0" quotePrefix="0" xfId="98">
      <alignment horizontal="center"/>
    </xf>
    <xf numFmtId="0" fontId="9" fillId="54" borderId="0" applyAlignment="1" pivotButton="0" quotePrefix="0" xfId="98">
      <alignment horizontal="center"/>
    </xf>
    <xf numFmtId="0" fontId="47" fillId="53" borderId="17" applyAlignment="1" pivotButton="0" quotePrefix="0" xfId="98">
      <alignment horizontal="center" vertical="top" wrapText="1"/>
    </xf>
    <xf numFmtId="0" fontId="47" fillId="53" borderId="0" applyAlignment="1" pivotButton="0" quotePrefix="0" xfId="98">
      <alignment horizontal="center" vertical="top" wrapText="1"/>
    </xf>
    <xf numFmtId="0" fontId="47" fillId="53" borderId="19" applyAlignment="1" pivotButton="0" quotePrefix="0" xfId="98">
      <alignment horizontal="center" vertical="top" wrapText="1"/>
    </xf>
    <xf numFmtId="0" fontId="9" fillId="54" borderId="12" pivotButton="0" quotePrefix="0" xfId="98"/>
    <xf numFmtId="0" fontId="9" fillId="54" borderId="12" applyAlignment="1" pivotButton="0" quotePrefix="0" xfId="98">
      <alignment horizontal="left" vertical="center"/>
    </xf>
    <xf numFmtId="0" fontId="47" fillId="0" borderId="1" applyAlignment="1" pivotButton="0" quotePrefix="0" xfId="98">
      <alignment horizontal="center" vertical="center"/>
    </xf>
    <xf numFmtId="0" fontId="9" fillId="54" borderId="18" pivotButton="0" quotePrefix="0" xfId="98"/>
    <xf numFmtId="0" fontId="9" fillId="54" borderId="17" applyAlignment="1" pivotButton="0" quotePrefix="0" xfId="98">
      <alignment horizontal="left" vertical="center"/>
    </xf>
    <xf numFmtId="0" fontId="9" fillId="54" borderId="17" applyAlignment="1" pivotButton="0" quotePrefix="0" xfId="98">
      <alignment horizontal="center"/>
    </xf>
    <xf numFmtId="0" fontId="9" fillId="54" borderId="19" applyAlignment="1" pivotButton="0" quotePrefix="0" xfId="98">
      <alignment horizontal="center"/>
    </xf>
    <xf numFmtId="0" fontId="9" fillId="54" borderId="4" applyAlignment="1" pivotButton="0" quotePrefix="0" xfId="98">
      <alignment horizontal="left" vertical="center"/>
    </xf>
    <xf numFmtId="0" fontId="9" fillId="54" borderId="5" applyAlignment="1" pivotButton="0" quotePrefix="0" xfId="98">
      <alignment horizontal="left" vertical="center"/>
    </xf>
    <xf numFmtId="0" fontId="9" fillId="54" borderId="75" applyAlignment="1" pivotButton="0" quotePrefix="0" xfId="98">
      <alignment horizontal="left" vertical="center"/>
    </xf>
    <xf numFmtId="0" fontId="47" fillId="53" borderId="4" applyAlignment="1" pivotButton="0" quotePrefix="0" xfId="98">
      <alignment horizontal="center" vertical="top" wrapText="1"/>
    </xf>
    <xf numFmtId="0" fontId="47" fillId="53" borderId="5" applyAlignment="1" pivotButton="0" quotePrefix="0" xfId="98">
      <alignment horizontal="center" vertical="top" wrapText="1"/>
    </xf>
    <xf numFmtId="0" fontId="47" fillId="53" borderId="20" applyAlignment="1" pivotButton="0" quotePrefix="0" xfId="98">
      <alignment horizontal="center" vertical="top" wrapText="1"/>
    </xf>
    <xf numFmtId="0" fontId="57" fillId="42" borderId="32" applyAlignment="1" pivotButton="0" quotePrefix="0" xfId="0">
      <alignment horizontal="left"/>
    </xf>
    <xf numFmtId="0" fontId="57" fillId="42" borderId="31" applyAlignment="1" pivotButton="0" quotePrefix="0" xfId="0">
      <alignment horizontal="left"/>
    </xf>
    <xf numFmtId="0" fontId="57" fillId="42" borderId="9" applyAlignment="1" pivotButton="0" quotePrefix="0" xfId="0">
      <alignment wrapText="1"/>
    </xf>
    <xf numFmtId="0" fontId="57" fillId="42" borderId="0" pivotButton="0" quotePrefix="0" xfId="0"/>
    <xf numFmtId="0" fontId="57" fillId="42" borderId="13" applyAlignment="1" pivotButton="0" quotePrefix="0" xfId="0">
      <alignment horizontal="left"/>
    </xf>
    <xf numFmtId="0" fontId="57" fillId="42" borderId="0" applyAlignment="1" pivotButton="0" quotePrefix="0" xfId="0">
      <alignment horizontal="left"/>
    </xf>
    <xf numFmtId="0" fontId="57" fillId="42" borderId="11" applyAlignment="1" pivotButton="0" quotePrefix="0" xfId="0">
      <alignment wrapText="1"/>
    </xf>
    <xf numFmtId="0" fontId="59" fillId="42" borderId="13" pivotButton="0" quotePrefix="0" xfId="0"/>
    <xf numFmtId="0" fontId="59" fillId="42" borderId="0" pivotButton="0" quotePrefix="0" xfId="0"/>
    <xf numFmtId="0" fontId="59" fillId="42" borderId="11" applyAlignment="1" pivotButton="0" quotePrefix="0" xfId="0">
      <alignment wrapText="1"/>
    </xf>
    <xf numFmtId="0" fontId="60" fillId="42" borderId="14" applyAlignment="1" pivotButton="0" quotePrefix="0" xfId="0">
      <alignment horizontal="left"/>
    </xf>
    <xf numFmtId="0" fontId="60" fillId="42" borderId="15" applyAlignment="1" pivotButton="0" quotePrefix="0" xfId="0">
      <alignment horizontal="left"/>
    </xf>
    <xf numFmtId="0" fontId="57" fillId="42" borderId="16" applyAlignment="1" pivotButton="0" quotePrefix="0" xfId="0">
      <alignment wrapText="1"/>
    </xf>
    <xf numFmtId="0" fontId="60" fillId="42" borderId="0" applyAlignment="1" pivotButton="0" quotePrefix="0" xfId="0">
      <alignment horizontal="left"/>
    </xf>
    <xf numFmtId="0" fontId="61" fillId="42" borderId="0" applyAlignment="1" pivotButton="0" quotePrefix="0" xfId="0">
      <alignment wrapText="1"/>
    </xf>
    <xf numFmtId="165" fontId="61" fillId="42" borderId="0" applyAlignment="1" pivotButton="0" quotePrefix="0" xfId="99">
      <alignment horizontal="center"/>
    </xf>
    <xf numFmtId="168" fontId="61" fillId="42" borderId="0" applyAlignment="1" pivotButton="0" quotePrefix="0" xfId="99">
      <alignment horizontal="center"/>
    </xf>
    <xf numFmtId="0" fontId="61" fillId="42" borderId="0" applyAlignment="1" pivotButton="0" quotePrefix="0" xfId="0">
      <alignment horizontal="center"/>
    </xf>
    <xf numFmtId="0" fontId="61" fillId="42" borderId="0" pivotButton="0" quotePrefix="0" xfId="0"/>
    <xf numFmtId="0" fontId="61" fillId="0" borderId="2" applyAlignment="1" pivotButton="0" quotePrefix="0" xfId="0">
      <alignment horizontal="center" vertical="center" wrapText="1"/>
    </xf>
    <xf numFmtId="0" fontId="3" fillId="57" borderId="12" applyAlignment="1" pivotButton="0" quotePrefix="0" xfId="0">
      <alignment wrapText="1"/>
    </xf>
    <xf numFmtId="168" fontId="3" fillId="57" borderId="12" applyAlignment="1" pivotButton="0" quotePrefix="0" xfId="0">
      <alignment wrapText="1"/>
    </xf>
    <xf numFmtId="0" fontId="3" fillId="57" borderId="18" applyAlignment="1" pivotButton="0" quotePrefix="0" xfId="0">
      <alignment wrapText="1"/>
    </xf>
    <xf numFmtId="0" fontId="61" fillId="0" borderId="10" applyAlignment="1" pivotButton="0" quotePrefix="0" xfId="0">
      <alignment horizontal="center" vertical="center" wrapText="1"/>
    </xf>
    <xf numFmtId="0" fontId="63" fillId="57" borderId="17" applyAlignment="1" pivotButton="0" quotePrefix="0" xfId="0">
      <alignment vertical="center" wrapText="1"/>
    </xf>
    <xf numFmtId="169" fontId="61" fillId="58" borderId="1" applyAlignment="1" pivotButton="0" quotePrefix="0" xfId="99">
      <alignment horizontal="right" vertical="center"/>
    </xf>
    <xf numFmtId="170" fontId="61" fillId="58" borderId="1" applyAlignment="1" pivotButton="0" quotePrefix="0" xfId="99">
      <alignment horizontal="right" vertical="center"/>
    </xf>
    <xf numFmtId="169" fontId="61" fillId="0" borderId="1" applyAlignment="1" applyProtection="1" pivotButton="0" quotePrefix="0" xfId="99">
      <alignment horizontal="right" vertical="center"/>
      <protection locked="0" hidden="0"/>
    </xf>
    <xf numFmtId="171" fontId="61" fillId="0" borderId="1" applyAlignment="1" pivotButton="0" quotePrefix="0" xfId="99">
      <alignment horizontal="right" vertical="center"/>
    </xf>
    <xf numFmtId="0" fontId="61" fillId="0" borderId="8" applyAlignment="1" pivotButton="0" quotePrefix="0" xfId="0">
      <alignment horizontal="left" vertical="center" wrapText="1"/>
    </xf>
    <xf numFmtId="169" fontId="61" fillId="59" borderId="1" applyAlignment="1" pivotButton="0" quotePrefix="0" xfId="99">
      <alignment horizontal="right" vertical="center"/>
    </xf>
    <xf numFmtId="170" fontId="61" fillId="59" borderId="1" applyAlignment="1" pivotButton="0" quotePrefix="0" xfId="99">
      <alignment horizontal="right" vertical="center"/>
    </xf>
    <xf numFmtId="0" fontId="61" fillId="0" borderId="0" pivotButton="0" quotePrefix="0" xfId="0"/>
    <xf numFmtId="3" fontId="61" fillId="42" borderId="0" pivotButton="0" quotePrefix="0" xfId="0"/>
    <xf numFmtId="0" fontId="63" fillId="0" borderId="0" applyAlignment="1" pivotButton="0" quotePrefix="0" xfId="0">
      <alignment horizontal="left" vertical="center"/>
    </xf>
    <xf numFmtId="3" fontId="61" fillId="0" borderId="0" applyAlignment="1" applyProtection="1" pivotButton="0" quotePrefix="0" xfId="99">
      <alignment horizontal="right"/>
      <protection locked="0" hidden="0"/>
    </xf>
    <xf numFmtId="0" fontId="61" fillId="0" borderId="0" applyAlignment="1" pivotButton="0" quotePrefix="0" xfId="0">
      <alignment vertical="center" wrapText="1"/>
    </xf>
    <xf numFmtId="3" fontId="61" fillId="0" borderId="0" applyAlignment="1" applyProtection="1" pivotButton="0" quotePrefix="0" xfId="99">
      <alignment horizontal="right"/>
      <protection locked="0" hidden="0"/>
    </xf>
    <xf numFmtId="169" fontId="61" fillId="0" borderId="1" applyAlignment="1" applyProtection="1" pivotButton="0" quotePrefix="0" xfId="99">
      <alignment horizontal="right" vertical="center"/>
      <protection locked="0" hidden="0"/>
    </xf>
    <xf numFmtId="171" fontId="61" fillId="0" borderId="1" applyAlignment="1" pivotButton="0" quotePrefix="0" xfId="99">
      <alignment horizontal="right" vertical="center"/>
    </xf>
    <xf numFmtId="169" fontId="61" fillId="58" borderId="1" applyAlignment="1" pivotButton="0" quotePrefix="0" xfId="99">
      <alignment horizontal="right" vertical="center"/>
    </xf>
    <xf numFmtId="169" fontId="61" fillId="3" borderId="1" applyAlignment="1" pivotButton="0" quotePrefix="0" xfId="99">
      <alignment horizontal="right" vertical="center"/>
    </xf>
    <xf numFmtId="169" fontId="61" fillId="3" borderId="1" applyAlignment="1" pivotButton="0" quotePrefix="0" xfId="99">
      <alignment horizontal="right" vertical="center"/>
    </xf>
    <xf numFmtId="169" fontId="61" fillId="42" borderId="0" pivotButton="0" quotePrefix="0" xfId="0"/>
    <xf numFmtId="0" fontId="61" fillId="0" borderId="8" applyAlignment="1" pivotButton="0" quotePrefix="0" xfId="0">
      <alignment vertical="center" wrapText="1"/>
    </xf>
    <xf numFmtId="0" fontId="61" fillId="0" borderId="1" applyAlignment="1" pivotButton="0" quotePrefix="0" xfId="0">
      <alignment vertical="center" wrapText="1"/>
    </xf>
    <xf numFmtId="0" fontId="61" fillId="0" borderId="1" applyAlignment="1" pivotButton="0" quotePrefix="0" xfId="0">
      <alignment horizontal="left" vertical="center" wrapText="1"/>
    </xf>
    <xf numFmtId="170" fontId="61" fillId="42" borderId="0" pivotButton="0" quotePrefix="0" xfId="0"/>
    <xf numFmtId="171" fontId="61" fillId="3" borderId="1" applyAlignment="1" pivotButton="0" quotePrefix="0" xfId="99">
      <alignment horizontal="right" vertical="center"/>
    </xf>
    <xf numFmtId="169" fontId="57" fillId="57" borderId="1" applyAlignment="1" pivotButton="0" quotePrefix="0" xfId="99">
      <alignment horizontal="right" vertical="center"/>
    </xf>
    <xf numFmtId="171" fontId="57" fillId="57" borderId="1" applyAlignment="1" pivotButton="0" quotePrefix="0" xfId="99">
      <alignment horizontal="right" vertical="center"/>
    </xf>
    <xf numFmtId="0" fontId="3" fillId="60" borderId="12" applyAlignment="1" pivotButton="0" quotePrefix="0" xfId="0">
      <alignment vertical="center" wrapText="1"/>
    </xf>
    <xf numFmtId="168" fontId="3" fillId="60" borderId="12" applyAlignment="1" pivotButton="0" quotePrefix="0" xfId="0">
      <alignment vertical="center" wrapText="1"/>
    </xf>
    <xf numFmtId="0" fontId="3" fillId="60" borderId="8" applyAlignment="1" pivotButton="0" quotePrefix="0" xfId="0">
      <alignment vertical="center" wrapText="1"/>
    </xf>
    <xf numFmtId="0" fontId="64" fillId="42" borderId="0" pivotButton="0" quotePrefix="0" xfId="0"/>
    <xf numFmtId="169" fontId="57" fillId="60" borderId="1" applyAlignment="1" pivotButton="0" quotePrefix="0" xfId="99">
      <alignment horizontal="right" vertical="center"/>
    </xf>
    <xf numFmtId="171" fontId="57" fillId="60" borderId="1" applyAlignment="1" pivotButton="0" quotePrefix="0" xfId="99">
      <alignment horizontal="right" vertical="center"/>
    </xf>
    <xf numFmtId="165" fontId="62" fillId="61" borderId="6" applyAlignment="1" pivotButton="0" quotePrefix="0" xfId="99">
      <alignment horizontal="center" vertical="center" wrapText="1"/>
    </xf>
    <xf numFmtId="168" fontId="62" fillId="61" borderId="2" applyAlignment="1" pivotButton="0" quotePrefix="0" xfId="99">
      <alignment horizontal="center" vertical="center" wrapText="1"/>
    </xf>
    <xf numFmtId="3" fontId="61" fillId="3" borderId="0" applyAlignment="1" pivotButton="0" quotePrefix="0" xfId="99">
      <alignment horizontal="right"/>
    </xf>
    <xf numFmtId="3" fontId="61" fillId="3" borderId="18" applyAlignment="1" pivotButton="0" quotePrefix="0" xfId="99">
      <alignment horizontal="right"/>
    </xf>
    <xf numFmtId="3" fontId="61" fillId="58" borderId="1" applyAlignment="1" pivotButton="0" quotePrefix="0" xfId="99">
      <alignment horizontal="right" vertical="center"/>
    </xf>
    <xf numFmtId="171" fontId="61" fillId="58" borderId="1" applyAlignment="1" pivotButton="0" quotePrefix="0" xfId="99">
      <alignment horizontal="right" vertical="center"/>
    </xf>
    <xf numFmtId="3" fontId="61" fillId="3" borderId="19" applyAlignment="1" pivotButton="0" quotePrefix="0" xfId="99">
      <alignment horizontal="right"/>
    </xf>
    <xf numFmtId="3" fontId="61" fillId="0" borderId="1" applyAlignment="1" applyProtection="1" pivotButton="0" quotePrefix="0" xfId="99">
      <alignment horizontal="right" vertical="center"/>
      <protection locked="0" hidden="0"/>
    </xf>
    <xf numFmtId="3" fontId="61" fillId="3" borderId="0" applyAlignment="1" pivotButton="0" quotePrefix="0" xfId="99">
      <alignment horizontal="right"/>
    </xf>
    <xf numFmtId="3" fontId="65" fillId="3" borderId="19" applyAlignment="1" pivotButton="0" quotePrefix="0" xfId="99">
      <alignment horizontal="right"/>
    </xf>
    <xf numFmtId="0" fontId="63" fillId="58" borderId="21" applyAlignment="1" pivotButton="0" quotePrefix="0" xfId="0">
      <alignment vertical="center" wrapText="1"/>
    </xf>
    <xf numFmtId="3" fontId="57" fillId="61" borderId="1" applyAlignment="1" pivotButton="0" quotePrefix="0" xfId="99">
      <alignment horizontal="right" vertical="center"/>
    </xf>
    <xf numFmtId="171" fontId="57" fillId="61" borderId="1" applyAlignment="1" pivotButton="0" quotePrefix="0" xfId="99">
      <alignment horizontal="right" vertical="center"/>
    </xf>
    <xf numFmtId="3" fontId="61" fillId="3" borderId="20" applyAlignment="1" pivotButton="0" quotePrefix="0" xfId="99">
      <alignment horizontal="right"/>
    </xf>
    <xf numFmtId="0" fontId="60" fillId="45" borderId="1" applyAlignment="1" pivotButton="0" quotePrefix="0" xfId="0">
      <alignment horizontal="center" vertical="center" wrapText="1"/>
    </xf>
    <xf numFmtId="168" fontId="60" fillId="45" borderId="1" applyAlignment="1" pivotButton="0" quotePrefix="0" xfId="0">
      <alignment horizontal="center" vertical="center" wrapText="1"/>
    </xf>
    <xf numFmtId="0" fontId="3" fillId="45" borderId="12" applyAlignment="1" pivotButton="0" quotePrefix="0" xfId="0">
      <alignment horizontal="center" vertical="center" wrapText="1"/>
    </xf>
    <xf numFmtId="0" fontId="3" fillId="45" borderId="18" applyAlignment="1" pivotButton="0" quotePrefix="0" xfId="0">
      <alignment horizontal="center" vertical="center" wrapText="1"/>
    </xf>
    <xf numFmtId="2" fontId="66" fillId="45" borderId="2" applyAlignment="1" pivotButton="0" quotePrefix="0" xfId="99">
      <alignment horizontal="center" vertical="center" wrapText="1"/>
    </xf>
    <xf numFmtId="0" fontId="61" fillId="0" borderId="0" applyAlignment="1" pivotButton="0" quotePrefix="0" xfId="0">
      <alignment horizontal="center"/>
    </xf>
    <xf numFmtId="3" fontId="60" fillId="3" borderId="1" applyAlignment="1" pivotButton="0" quotePrefix="0" xfId="0">
      <alignment horizontal="right" vertical="center" wrapText="1"/>
    </xf>
    <xf numFmtId="3" fontId="67" fillId="3" borderId="1" applyAlignment="1" pivotButton="0" quotePrefix="0" xfId="99">
      <alignment horizontal="right" vertical="center"/>
    </xf>
    <xf numFmtId="3" fontId="61" fillId="0" borderId="0" applyAlignment="1" pivotButton="0" quotePrefix="0" xfId="99">
      <alignment horizontal="right"/>
    </xf>
    <xf numFmtId="3" fontId="67" fillId="0" borderId="1" applyAlignment="1" applyProtection="1" pivotButton="0" quotePrefix="0" xfId="99">
      <alignment horizontal="right" vertical="center"/>
      <protection locked="0" hidden="0"/>
    </xf>
    <xf numFmtId="3" fontId="60" fillId="3" borderId="8" applyAlignment="1" pivotButton="0" quotePrefix="0" xfId="0">
      <alignment horizontal="right" vertical="center" wrapText="1"/>
    </xf>
    <xf numFmtId="3" fontId="61" fillId="3" borderId="1" applyAlignment="1" pivotButton="0" quotePrefix="0" xfId="0">
      <alignment horizontal="right" vertical="center"/>
    </xf>
    <xf numFmtId="0" fontId="61" fillId="42" borderId="32" applyAlignment="1" pivotButton="0" quotePrefix="0" xfId="0">
      <alignment horizontal="center" vertical="center"/>
    </xf>
    <xf numFmtId="0" fontId="61" fillId="42" borderId="31" pivotButton="0" quotePrefix="0" xfId="0"/>
    <xf numFmtId="0" fontId="61" fillId="42" borderId="31" applyAlignment="1" pivotButton="0" quotePrefix="0" xfId="0">
      <alignment horizontal="left"/>
    </xf>
    <xf numFmtId="0" fontId="61" fillId="42" borderId="9" applyAlignment="1" pivotButton="0" quotePrefix="0" xfId="0">
      <alignment wrapText="1"/>
    </xf>
    <xf numFmtId="0" fontId="61" fillId="42" borderId="13" applyAlignment="1" pivotButton="0" quotePrefix="0" xfId="0">
      <alignment horizontal="center" vertical="center"/>
    </xf>
    <xf numFmtId="0" fontId="61" fillId="42" borderId="0" applyAlignment="1" pivotButton="0" quotePrefix="0" xfId="0">
      <alignment horizontal="left"/>
    </xf>
    <xf numFmtId="0" fontId="61" fillId="42" borderId="11" applyAlignment="1" pivotButton="0" quotePrefix="0" xfId="0">
      <alignment wrapText="1"/>
    </xf>
    <xf numFmtId="0" fontId="61" fillId="42" borderId="14" applyAlignment="1" pivotButton="0" quotePrefix="0" xfId="0">
      <alignment horizontal="center" vertical="center"/>
    </xf>
    <xf numFmtId="0" fontId="61" fillId="42" borderId="15" pivotButton="0" quotePrefix="0" xfId="0"/>
    <xf numFmtId="0" fontId="63" fillId="42" borderId="15" applyAlignment="1" pivotButton="0" quotePrefix="0" xfId="0">
      <alignment horizontal="left"/>
    </xf>
    <xf numFmtId="0" fontId="61" fillId="42" borderId="16" applyAlignment="1" pivotButton="0" quotePrefix="0" xfId="0">
      <alignment wrapText="1"/>
    </xf>
    <xf numFmtId="0" fontId="61" fillId="42" borderId="0" applyAlignment="1" pivotButton="0" quotePrefix="0" xfId="0">
      <alignment horizontal="center" vertical="center"/>
    </xf>
    <xf numFmtId="0" fontId="63" fillId="42" borderId="0" applyAlignment="1" pivotButton="0" quotePrefix="0" xfId="0">
      <alignment horizontal="left"/>
    </xf>
    <xf numFmtId="165" fontId="61" fillId="42" borderId="0" applyAlignment="1" pivotButton="0" quotePrefix="0" xfId="99">
      <alignment horizontal="center" vertical="center"/>
    </xf>
    <xf numFmtId="2" fontId="70" fillId="56" borderId="6" applyAlignment="1" pivotButton="0" quotePrefix="0" xfId="0">
      <alignment horizontal="center" vertical="center" wrapText="1"/>
    </xf>
    <xf numFmtId="2" fontId="70" fillId="56" borderId="1" applyAlignment="1" pivotButton="0" quotePrefix="0" xfId="99">
      <alignment horizontal="center" vertical="center" wrapText="1"/>
    </xf>
    <xf numFmtId="2" fontId="70" fillId="56" borderId="1" applyAlignment="1" pivotButton="0" quotePrefix="0" xfId="0">
      <alignment horizontal="center" vertical="center" wrapText="1"/>
    </xf>
    <xf numFmtId="2" fontId="70" fillId="56" borderId="7" applyAlignment="1" pivotButton="0" quotePrefix="0" xfId="0">
      <alignment horizontal="center" vertical="center" wrapText="1"/>
    </xf>
    <xf numFmtId="2" fontId="27" fillId="0" borderId="17" applyAlignment="1" pivotButton="0" quotePrefix="0" xfId="99">
      <alignment horizontal="center" vertical="center" wrapText="1"/>
    </xf>
    <xf numFmtId="0" fontId="54" fillId="42" borderId="0" pivotButton="0" quotePrefix="0" xfId="0"/>
    <xf numFmtId="2" fontId="62" fillId="56" borderId="21" applyAlignment="1" pivotButton="0" quotePrefix="0" xfId="0">
      <alignment horizontal="center" vertical="center" wrapText="1"/>
    </xf>
    <xf numFmtId="0" fontId="38" fillId="56" borderId="12" applyAlignment="1" pivotButton="0" quotePrefix="0" xfId="0">
      <alignment vertical="center" wrapText="1"/>
    </xf>
    <xf numFmtId="0" fontId="38" fillId="56" borderId="18" applyAlignment="1" pivotButton="0" quotePrefix="0" xfId="0">
      <alignment vertical="center" wrapText="1"/>
    </xf>
    <xf numFmtId="2" fontId="62" fillId="56" borderId="2" applyAlignment="1" pivotButton="0" quotePrefix="0" xfId="99">
      <alignment horizontal="center" vertical="center" wrapText="1"/>
    </xf>
    <xf numFmtId="2" fontId="62" fillId="56" borderId="2" applyAlignment="1" pivotButton="0" quotePrefix="0" xfId="0">
      <alignment horizontal="center" vertical="center" wrapText="1"/>
    </xf>
    <xf numFmtId="2" fontId="62" fillId="56" borderId="12" applyAlignment="1" pivotButton="0" quotePrefix="0" xfId="0">
      <alignment horizontal="center" vertical="center" wrapText="1"/>
    </xf>
    <xf numFmtId="9" fontId="62" fillId="56" borderId="2" applyAlignment="1" pivotButton="0" quotePrefix="0" xfId="3">
      <alignment horizontal="center" vertical="center" wrapText="1"/>
    </xf>
    <xf numFmtId="2" fontId="63" fillId="0" borderId="17" applyAlignment="1" pivotButton="0" quotePrefix="0" xfId="99">
      <alignment horizontal="center" vertical="center" wrapText="1"/>
    </xf>
    <xf numFmtId="9" fontId="62" fillId="56" borderId="1" applyAlignment="1" pivotButton="0" quotePrefix="0" xfId="0">
      <alignment horizontal="center" vertical="center" wrapText="1"/>
    </xf>
    <xf numFmtId="0" fontId="61" fillId="0" borderId="2" applyAlignment="1" pivotButton="0" quotePrefix="0" xfId="0">
      <alignment horizontal="center" vertical="center"/>
    </xf>
    <xf numFmtId="0" fontId="8" fillId="57" borderId="2" applyAlignment="1" pivotButton="0" quotePrefix="0" xfId="0">
      <alignment vertical="center"/>
    </xf>
    <xf numFmtId="0" fontId="8" fillId="0" borderId="17" applyAlignment="1" pivotButton="0" quotePrefix="0" xfId="0">
      <alignment vertical="center"/>
    </xf>
    <xf numFmtId="0" fontId="8" fillId="57" borderId="1" applyAlignment="1" pivotButton="0" quotePrefix="0" xfId="0">
      <alignment vertical="center"/>
    </xf>
    <xf numFmtId="0" fontId="61" fillId="0" borderId="10" applyAlignment="1" pivotButton="0" quotePrefix="0" xfId="0">
      <alignment horizontal="center" vertical="center"/>
    </xf>
    <xf numFmtId="169" fontId="63" fillId="58" borderId="1" applyAlignment="1" pivotButton="0" quotePrefix="0" xfId="0">
      <alignment horizontal="right" vertical="center"/>
    </xf>
    <xf numFmtId="171" fontId="63" fillId="58" borderId="1" applyAlignment="1" pivotButton="0" quotePrefix="0" xfId="0">
      <alignment horizontal="right" vertical="center"/>
    </xf>
    <xf numFmtId="3" fontId="63" fillId="0" borderId="17" applyAlignment="1" pivotButton="0" quotePrefix="0" xfId="0">
      <alignment horizontal="right" vertical="center"/>
    </xf>
    <xf numFmtId="169" fontId="61" fillId="3" borderId="1" pivotButton="0" quotePrefix="0" xfId="0"/>
    <xf numFmtId="3" fontId="61" fillId="0" borderId="17" applyAlignment="1" pivotButton="0" quotePrefix="0" xfId="99">
      <alignment horizontal="right" vertical="center"/>
    </xf>
    <xf numFmtId="169" fontId="61" fillId="63" borderId="1" applyAlignment="1" pivotButton="0" quotePrefix="0" xfId="0">
      <alignment horizontal="right" vertical="center"/>
    </xf>
    <xf numFmtId="169" fontId="61" fillId="63" borderId="1" pivotButton="0" quotePrefix="0" xfId="0"/>
    <xf numFmtId="169" fontId="61" fillId="64" borderId="1" applyProtection="1" pivotButton="0" quotePrefix="0" xfId="100">
      <protection locked="0" hidden="0"/>
    </xf>
    <xf numFmtId="170" fontId="63" fillId="58" borderId="1" applyAlignment="1" pivotButton="0" quotePrefix="0" xfId="0">
      <alignment horizontal="right" vertical="center"/>
    </xf>
    <xf numFmtId="169" fontId="61" fillId="3" borderId="1" applyAlignment="1" pivotButton="0" quotePrefix="0" xfId="0">
      <alignment horizontal="right" vertical="center"/>
    </xf>
    <xf numFmtId="169" fontId="61" fillId="63" borderId="1" pivotButton="0" quotePrefix="0" xfId="100"/>
    <xf numFmtId="171" fontId="61" fillId="3" borderId="1" applyAlignment="1" pivotButton="0" quotePrefix="0" xfId="0">
      <alignment horizontal="right" vertical="center"/>
    </xf>
    <xf numFmtId="169" fontId="61" fillId="3" borderId="1" pivotButton="0" quotePrefix="0" xfId="100"/>
    <xf numFmtId="169" fontId="63" fillId="58" borderId="1" applyAlignment="1" pivotButton="0" quotePrefix="0" xfId="99">
      <alignment horizontal="right" vertical="center"/>
    </xf>
    <xf numFmtId="169" fontId="61" fillId="63" borderId="1" applyAlignment="1" pivotButton="0" quotePrefix="0" xfId="99">
      <alignment horizontal="right" vertical="center"/>
    </xf>
    <xf numFmtId="169" fontId="61" fillId="63" borderId="1" pivotButton="0" quotePrefix="0" xfId="99"/>
    <xf numFmtId="169" fontId="63" fillId="57" borderId="1" applyAlignment="1" pivotButton="0" quotePrefix="0" xfId="99">
      <alignment horizontal="right" vertical="center"/>
    </xf>
    <xf numFmtId="3" fontId="63" fillId="0" borderId="17" applyAlignment="1" pivotButton="0" quotePrefix="0" xfId="99">
      <alignment horizontal="right" vertical="center"/>
    </xf>
    <xf numFmtId="169" fontId="0" fillId="65" borderId="7" applyAlignment="1" pivotButton="0" quotePrefix="0" xfId="0">
      <alignment horizontal="right" vertical="center" wrapText="1"/>
    </xf>
    <xf numFmtId="3" fontId="0" fillId="0" borderId="0" applyAlignment="1" pivotButton="0" quotePrefix="0" xfId="0">
      <alignment horizontal="right" vertical="center" wrapText="1"/>
    </xf>
    <xf numFmtId="169" fontId="0" fillId="65" borderId="1" applyAlignment="1" pivotButton="0" quotePrefix="0" xfId="0">
      <alignment horizontal="right" vertical="center" wrapText="1"/>
    </xf>
    <xf numFmtId="0" fontId="61" fillId="0" borderId="6" applyAlignment="1" pivotButton="0" quotePrefix="0" xfId="0">
      <alignment vertical="center" wrapText="1"/>
    </xf>
    <xf numFmtId="170" fontId="63" fillId="58" borderId="1" applyAlignment="1" pivotButton="0" quotePrefix="0" xfId="99">
      <alignment horizontal="right" vertical="center"/>
    </xf>
    <xf numFmtId="0" fontId="63" fillId="42" borderId="0" pivotButton="0" quotePrefix="0" xfId="0"/>
    <xf numFmtId="169" fontId="63" fillId="65" borderId="1" applyAlignment="1" pivotButton="0" quotePrefix="0" xfId="99">
      <alignment horizontal="right" vertical="center"/>
    </xf>
    <xf numFmtId="169" fontId="0" fillId="45" borderId="7" applyAlignment="1" pivotButton="0" quotePrefix="0" xfId="0">
      <alignment horizontal="right" vertical="center" wrapText="1"/>
    </xf>
    <xf numFmtId="169" fontId="0" fillId="45" borderId="8" applyAlignment="1" pivotButton="0" quotePrefix="0" xfId="0">
      <alignment horizontal="right" vertical="center" wrapText="1"/>
    </xf>
    <xf numFmtId="169" fontId="0" fillId="45" borderId="1" applyAlignment="1" pivotButton="0" quotePrefix="0" xfId="0">
      <alignment horizontal="right" vertical="center" wrapText="1"/>
    </xf>
    <xf numFmtId="170" fontId="61" fillId="0" borderId="17" applyAlignment="1" pivotButton="0" quotePrefix="0" xfId="99">
      <alignment horizontal="right" vertical="center"/>
    </xf>
    <xf numFmtId="169" fontId="63" fillId="59" borderId="1" applyAlignment="1" pivotButton="0" quotePrefix="0" xfId="0">
      <alignment horizontal="right" vertical="center"/>
    </xf>
    <xf numFmtId="170" fontId="63" fillId="59" borderId="1" applyAlignment="1" pivotButton="0" quotePrefix="0" xfId="0">
      <alignment horizontal="right" vertical="center"/>
    </xf>
    <xf numFmtId="169" fontId="63" fillId="59" borderId="1" applyAlignment="1" pivotButton="0" quotePrefix="0" xfId="99">
      <alignment horizontal="right" vertical="center"/>
    </xf>
    <xf numFmtId="169" fontId="63" fillId="45" borderId="1" applyAlignment="1" pivotButton="0" quotePrefix="0" xfId="99">
      <alignment horizontal="right" vertical="center"/>
    </xf>
    <xf numFmtId="171" fontId="63" fillId="45" borderId="1" applyAlignment="1" pivotButton="0" quotePrefix="0" xfId="99">
      <alignment horizontal="right" vertical="center"/>
    </xf>
    <xf numFmtId="171" fontId="63" fillId="57" borderId="1" applyAlignment="1" pivotButton="0" quotePrefix="0" xfId="99">
      <alignment horizontal="right" vertical="center"/>
    </xf>
    <xf numFmtId="0" fontId="8" fillId="0" borderId="0" applyAlignment="1" pivotButton="0" quotePrefix="0" xfId="0">
      <alignment horizontal="center" vertical="center" wrapText="1"/>
    </xf>
    <xf numFmtId="169" fontId="0" fillId="61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9" fontId="72" fillId="66" borderId="1" applyAlignment="1" pivotButton="0" quotePrefix="0" xfId="0">
      <alignment horizontal="center" vertical="center" wrapText="1"/>
    </xf>
    <xf numFmtId="0" fontId="61" fillId="58" borderId="6" pivotButton="0" quotePrefix="0" xfId="0"/>
    <xf numFmtId="0" fontId="61" fillId="58" borderId="7" pivotButton="0" quotePrefix="0" xfId="0"/>
    <xf numFmtId="0" fontId="72" fillId="58" borderId="7" applyAlignment="1" pivotButton="0" quotePrefix="0" xfId="0">
      <alignment horizontal="left" vertical="center" wrapText="1"/>
    </xf>
    <xf numFmtId="0" fontId="72" fillId="58" borderId="1" applyAlignment="1" pivotButton="0" quotePrefix="0" xfId="0">
      <alignment horizontal="center" vertical="center" wrapText="1"/>
    </xf>
    <xf numFmtId="3" fontId="72" fillId="58" borderId="1" applyAlignment="1" pivotButton="0" quotePrefix="0" xfId="0">
      <alignment horizontal="center" vertical="center" wrapText="1"/>
    </xf>
    <xf numFmtId="3" fontId="72" fillId="0" borderId="17" applyAlignment="1" pivotButton="0" quotePrefix="0" xfId="0">
      <alignment horizontal="center" vertical="center" wrapText="1"/>
    </xf>
    <xf numFmtId="169" fontId="73" fillId="3" borderId="1" applyAlignment="1" pivotButton="0" quotePrefix="0" xfId="0">
      <alignment vertical="center" wrapText="1"/>
    </xf>
    <xf numFmtId="169" fontId="73" fillId="3" borderId="1" applyAlignment="1" pivotButton="0" quotePrefix="0" xfId="0">
      <alignment wrapText="1"/>
    </xf>
    <xf numFmtId="0" fontId="72" fillId="3" borderId="1" applyAlignment="1" pivotButton="0" quotePrefix="0" xfId="0">
      <alignment horizontal="left" vertical="center" wrapText="1"/>
    </xf>
    <xf numFmtId="0" fontId="61" fillId="3" borderId="1" applyAlignment="1" pivotButton="0" quotePrefix="0" xfId="0">
      <alignment horizontal="left" vertical="center" wrapText="1"/>
    </xf>
    <xf numFmtId="169" fontId="65" fillId="59" borderId="1" applyAlignment="1" pivotButton="0" quotePrefix="0" xfId="0">
      <alignment horizontal="right" vertical="center" wrapText="1"/>
    </xf>
    <xf numFmtId="3" fontId="65" fillId="0" borderId="17" applyAlignment="1" pivotButton="0" quotePrefix="0" xfId="0">
      <alignment horizontal="right" vertical="center" wrapText="1"/>
    </xf>
    <xf numFmtId="4" fontId="64" fillId="3" borderId="1" applyAlignment="1" pivotButton="0" quotePrefix="0" xfId="0">
      <alignment horizontal="center" vertical="center" wrapText="1"/>
    </xf>
    <xf numFmtId="0" fontId="64" fillId="3" borderId="1" applyAlignment="1" pivotButton="0" quotePrefix="0" xfId="0">
      <alignment horizontal="center" wrapText="1"/>
    </xf>
    <xf numFmtId="0" fontId="61" fillId="3" borderId="1" pivotButton="0" quotePrefix="0" xfId="0"/>
    <xf numFmtId="169" fontId="61" fillId="3" borderId="1" applyAlignment="1" pivotButton="0" quotePrefix="0" xfId="0">
      <alignment horizontal="right" vertical="center" wrapText="1"/>
    </xf>
    <xf numFmtId="169" fontId="61" fillId="58" borderId="1" applyAlignment="1" pivotButton="0" quotePrefix="0" xfId="0">
      <alignment horizontal="right" vertical="center" wrapText="1"/>
    </xf>
    <xf numFmtId="3" fontId="61" fillId="0" borderId="17" applyAlignment="1" pivotButton="0" quotePrefix="0" xfId="0">
      <alignment horizontal="right" vertical="center" wrapText="1"/>
    </xf>
    <xf numFmtId="3" fontId="61" fillId="3" borderId="1" applyAlignment="1" pivotButton="0" quotePrefix="0" xfId="99">
      <alignment horizontal="right" vertical="center"/>
    </xf>
    <xf numFmtId="3" fontId="61" fillId="3" borderId="1" applyAlignment="1" pivotButton="0" quotePrefix="0" xfId="99">
      <alignment horizontal="right"/>
    </xf>
    <xf numFmtId="169" fontId="61" fillId="0" borderId="1" applyAlignment="1" applyProtection="1" pivotButton="0" quotePrefix="0" xfId="0">
      <alignment horizontal="right" vertical="center" wrapText="1"/>
      <protection locked="0" hidden="0"/>
    </xf>
    <xf numFmtId="0" fontId="0" fillId="3" borderId="1" applyAlignment="1" pivotButton="0" quotePrefix="0" xfId="0">
      <alignment wrapText="1"/>
    </xf>
    <xf numFmtId="3" fontId="65" fillId="0" borderId="17" applyAlignment="1" pivotButton="0" quotePrefix="0" xfId="0">
      <alignment horizontal="center" vertical="center" wrapText="1"/>
    </xf>
    <xf numFmtId="3" fontId="63" fillId="3" borderId="1" applyAlignment="1" pivotButton="0" quotePrefix="0" xfId="99">
      <alignment horizontal="right" vertical="center"/>
    </xf>
    <xf numFmtId="3" fontId="63" fillId="3" borderId="1" applyAlignment="1" pivotButton="0" quotePrefix="0" xfId="99">
      <alignment horizontal="right"/>
    </xf>
    <xf numFmtId="0" fontId="63" fillId="3" borderId="1" pivotButton="0" quotePrefix="0" xfId="0"/>
    <xf numFmtId="0" fontId="74" fillId="3" borderId="1" applyAlignment="1" pivotButton="0" quotePrefix="0" xfId="0">
      <alignment horizontal="left" vertical="center" wrapText="1"/>
    </xf>
    <xf numFmtId="169" fontId="74" fillId="0" borderId="1" applyAlignment="1" applyProtection="1" pivotButton="0" quotePrefix="0" xfId="0">
      <alignment horizontal="right" vertical="center" wrapText="1"/>
      <protection locked="0" hidden="0"/>
    </xf>
    <xf numFmtId="3" fontId="61" fillId="3" borderId="1" applyAlignment="1" pivotButton="0" quotePrefix="0" xfId="0">
      <alignment horizontal="right" vertical="center" wrapText="1"/>
    </xf>
    <xf numFmtId="169" fontId="0" fillId="58" borderId="1" applyAlignment="1" pivotButton="0" quotePrefix="0" xfId="99">
      <alignment horizontal="right" vertical="center"/>
    </xf>
    <xf numFmtId="0" fontId="63" fillId="66" borderId="7" applyAlignment="1" pivotButton="0" quotePrefix="0" xfId="0">
      <alignment horizontal="left" vertical="center" wrapText="1"/>
    </xf>
    <xf numFmtId="0" fontId="63" fillId="66" borderId="8" applyAlignment="1" pivotButton="0" quotePrefix="0" xfId="0">
      <alignment horizontal="left" vertical="center" wrapText="1"/>
    </xf>
    <xf numFmtId="172" fontId="63" fillId="66" borderId="1" applyAlignment="1" pivotButton="0" quotePrefix="0" xfId="100">
      <alignment horizontal="left" vertical="center" wrapText="1"/>
    </xf>
    <xf numFmtId="172" fontId="63" fillId="0" borderId="17" applyAlignment="1" pivotButton="0" quotePrefix="0" xfId="100">
      <alignment horizontal="left" vertical="center" wrapText="1"/>
    </xf>
    <xf numFmtId="172" fontId="62" fillId="3" borderId="1" applyAlignment="1" pivotButton="0" quotePrefix="0" xfId="100">
      <alignment horizontal="left" vertical="center" wrapText="1"/>
    </xf>
    <xf numFmtId="0" fontId="0" fillId="0" borderId="0" applyAlignment="1" pivotButton="0" quotePrefix="0" xfId="0">
      <alignment vertical="center" wrapText="1"/>
    </xf>
    <xf numFmtId="0" fontId="72" fillId="58" borderId="1" applyAlignment="1" pivotButton="0" quotePrefix="0" xfId="0">
      <alignment horizontal="left" vertical="center" wrapText="1"/>
    </xf>
    <xf numFmtId="3" fontId="63" fillId="59" borderId="1" applyAlignment="1" pivotButton="0" quotePrefix="0" xfId="99">
      <alignment horizontal="center" vertical="center"/>
    </xf>
    <xf numFmtId="0" fontId="73" fillId="58" borderId="1" applyAlignment="1" pivotButton="0" quotePrefix="0" xfId="0">
      <alignment horizontal="center" wrapText="1"/>
    </xf>
    <xf numFmtId="0" fontId="73" fillId="0" borderId="17" applyAlignment="1" pivotButton="0" quotePrefix="0" xfId="0">
      <alignment horizontal="center" wrapText="1"/>
    </xf>
    <xf numFmtId="3" fontId="61" fillId="3" borderId="1" applyAlignment="1" pivotButton="0" quotePrefix="0" xfId="99">
      <alignment horizontal="right"/>
    </xf>
    <xf numFmtId="3" fontId="61" fillId="0" borderId="17" applyAlignment="1" pivotButton="0" quotePrefix="0" xfId="99">
      <alignment horizontal="right"/>
    </xf>
    <xf numFmtId="0" fontId="64" fillId="3" borderId="1" pivotButton="0" quotePrefix="0" xfId="0"/>
    <xf numFmtId="0" fontId="0" fillId="3" borderId="1" applyAlignment="1" pivotButton="0" quotePrefix="0" xfId="0">
      <alignment horizontal="left" vertical="center" wrapText="1"/>
    </xf>
    <xf numFmtId="0" fontId="61" fillId="3" borderId="1" applyAlignment="1" pivotButton="0" quotePrefix="0" xfId="0">
      <alignment vertical="center" wrapText="1"/>
    </xf>
    <xf numFmtId="3" fontId="61" fillId="0" borderId="17" applyAlignment="1" pivotButton="0" quotePrefix="0" xfId="99">
      <alignment horizontal="right"/>
    </xf>
    <xf numFmtId="0" fontId="8" fillId="58" borderId="1" applyAlignment="1" pivotButton="0" quotePrefix="0" xfId="0">
      <alignment horizontal="left" vertical="center" wrapText="1"/>
    </xf>
    <xf numFmtId="3" fontId="61" fillId="58" borderId="1" applyAlignment="1" pivotButton="0" quotePrefix="0" xfId="99">
      <alignment horizontal="right"/>
    </xf>
    <xf numFmtId="0" fontId="0" fillId="3" borderId="1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3" fontId="63" fillId="58" borderId="1" applyAlignment="1" pivotButton="0" quotePrefix="0" xfId="99">
      <alignment horizontal="center" vertical="center" wrapText="1"/>
    </xf>
    <xf numFmtId="3" fontId="63" fillId="0" borderId="17" applyAlignment="1" pivotButton="0" quotePrefix="0" xfId="99">
      <alignment horizontal="center" vertical="center" wrapText="1"/>
    </xf>
    <xf numFmtId="169" fontId="61" fillId="0" borderId="1" applyAlignment="1" applyProtection="1" pivotButton="0" quotePrefix="1" xfId="99">
      <alignment horizontal="right" vertical="center"/>
      <protection locked="0" hidden="0"/>
    </xf>
    <xf numFmtId="3" fontId="63" fillId="58" borderId="1" applyAlignment="1" pivotButton="0" quotePrefix="0" xfId="99">
      <alignment horizontal="right" vertical="center"/>
    </xf>
    <xf numFmtId="0" fontId="62" fillId="57" borderId="7" applyAlignment="1" pivotButton="0" quotePrefix="0" xfId="0">
      <alignment horizontal="left" vertical="center" wrapText="1"/>
    </xf>
    <xf numFmtId="0" fontId="62" fillId="57" borderId="8" applyAlignment="1" pivotButton="0" quotePrefix="0" xfId="0">
      <alignment horizontal="left" vertical="center" wrapText="1"/>
    </xf>
    <xf numFmtId="3" fontId="63" fillId="57" borderId="1" applyAlignment="1" pivotButton="0" quotePrefix="0" xfId="99">
      <alignment horizontal="right" vertical="center"/>
    </xf>
    <xf numFmtId="169" fontId="63" fillId="57" borderId="1" applyAlignment="1" pivotButton="0" quotePrefix="0" xfId="99">
      <alignment horizontal="right" vertical="center"/>
    </xf>
    <xf numFmtId="0" fontId="63" fillId="61" borderId="7" applyAlignment="1" pivotButton="0" quotePrefix="0" xfId="0">
      <alignment horizontal="left" vertical="center" wrapText="1"/>
    </xf>
    <xf numFmtId="3" fontId="61" fillId="61" borderId="7" applyAlignment="1" applyProtection="1" pivotButton="0" quotePrefix="0" xfId="99">
      <alignment horizontal="right" vertical="center"/>
      <protection locked="0" hidden="0"/>
    </xf>
    <xf numFmtId="3" fontId="61" fillId="0" borderId="0" applyAlignment="1" applyProtection="1" pivotButton="0" quotePrefix="0" xfId="99">
      <alignment horizontal="right" vertical="center"/>
      <protection locked="0" hidden="0"/>
    </xf>
    <xf numFmtId="171" fontId="65" fillId="63" borderId="1" applyAlignment="1" pivotButton="0" quotePrefix="0" xfId="99">
      <alignment horizontal="right" vertical="center"/>
    </xf>
    <xf numFmtId="171" fontId="61" fillId="63" borderId="1" applyAlignment="1" pivotButton="0" quotePrefix="0" xfId="99">
      <alignment horizontal="right" vertical="center"/>
    </xf>
    <xf numFmtId="3" fontId="61" fillId="0" borderId="8" applyAlignment="1" applyProtection="1" pivotButton="0" quotePrefix="0" xfId="99">
      <alignment horizontal="right" vertical="center"/>
      <protection locked="0" hidden="0"/>
    </xf>
    <xf numFmtId="3" fontId="61" fillId="0" borderId="0" applyAlignment="1" pivotButton="0" quotePrefix="0" xfId="99">
      <alignment horizontal="right" vertical="center"/>
    </xf>
    <xf numFmtId="3" fontId="61" fillId="6" borderId="7" applyAlignment="1" applyProtection="1" pivotButton="0" quotePrefix="0" xfId="99">
      <alignment horizontal="right" vertical="center"/>
      <protection locked="0" hidden="0"/>
    </xf>
    <xf numFmtId="3" fontId="61" fillId="6" borderId="7" applyAlignment="1" pivotButton="0" quotePrefix="0" xfId="99">
      <alignment horizontal="right" vertical="center"/>
    </xf>
    <xf numFmtId="3" fontId="61" fillId="6" borderId="8" applyAlignment="1" applyProtection="1" pivotButton="0" quotePrefix="0" xfId="99">
      <alignment horizontal="right" vertical="center"/>
      <protection locked="0" hidden="0"/>
    </xf>
    <xf numFmtId="169" fontId="61" fillId="6" borderId="1" applyAlignment="1" applyProtection="1" pivotButton="0" quotePrefix="0" xfId="99">
      <alignment horizontal="right" vertical="center"/>
      <protection locked="0" hidden="0"/>
    </xf>
    <xf numFmtId="169" fontId="61" fillId="58" borderId="3" applyAlignment="1" pivotButton="0" quotePrefix="0" xfId="99">
      <alignment horizontal="right" vertical="center"/>
    </xf>
    <xf numFmtId="3" fontId="61" fillId="0" borderId="17" applyAlignment="1" pivotButton="0" quotePrefix="0" xfId="99">
      <alignment horizontal="right" vertical="center"/>
    </xf>
    <xf numFmtId="169" fontId="61" fillId="58" borderId="1" applyAlignment="1" applyProtection="1" pivotButton="0" quotePrefix="0" xfId="99">
      <alignment horizontal="right" vertical="center"/>
      <protection locked="0" hidden="0"/>
    </xf>
    <xf numFmtId="3" fontId="61" fillId="0" borderId="17" applyAlignment="1" applyProtection="1" pivotButton="0" quotePrefix="0" xfId="99">
      <alignment horizontal="right" vertical="center"/>
      <protection locked="0" hidden="0"/>
    </xf>
    <xf numFmtId="0" fontId="61" fillId="6" borderId="1" applyAlignment="1" pivotButton="0" quotePrefix="0" xfId="0">
      <alignment horizontal="left" vertical="center" wrapText="1"/>
    </xf>
    <xf numFmtId="169" fontId="61" fillId="3" borderId="7" applyAlignment="1" pivotButton="0" quotePrefix="0" xfId="99">
      <alignment horizontal="right" vertical="center"/>
    </xf>
    <xf numFmtId="169" fontId="61" fillId="3" borderId="8" applyAlignment="1" pivotButton="0" quotePrefix="0" xfId="99">
      <alignment horizontal="right" vertical="center"/>
    </xf>
    <xf numFmtId="3" fontId="61" fillId="57" borderId="7" applyAlignment="1" pivotButton="0" quotePrefix="0" xfId="99">
      <alignment horizontal="right" vertical="center"/>
    </xf>
    <xf numFmtId="3" fontId="61" fillId="57" borderId="8" applyAlignment="1" pivotButton="0" quotePrefix="0" xfId="99">
      <alignment horizontal="right" vertical="center"/>
    </xf>
    <xf numFmtId="169" fontId="63" fillId="9" borderId="1" applyAlignment="1" pivotButton="0" quotePrefix="0" xfId="99">
      <alignment horizontal="right" vertical="center"/>
    </xf>
    <xf numFmtId="0" fontId="63" fillId="57" borderId="7" applyAlignment="1" pivotButton="0" quotePrefix="0" xfId="0">
      <alignment horizontal="left" vertical="center" wrapText="1"/>
    </xf>
    <xf numFmtId="0" fontId="0" fillId="58" borderId="7" applyAlignment="1" pivotButton="0" quotePrefix="0" xfId="0">
      <alignment horizontal="left" vertical="center" wrapText="1"/>
    </xf>
    <xf numFmtId="0" fontId="0" fillId="58" borderId="8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3" fontId="63" fillId="0" borderId="0" applyAlignment="1" pivotButton="0" quotePrefix="0" xfId="99">
      <alignment horizontal="right" vertical="center"/>
    </xf>
    <xf numFmtId="0" fontId="61" fillId="42" borderId="0" applyAlignment="1" pivotButton="0" quotePrefix="0" xfId="0">
      <alignment vertical="center"/>
    </xf>
    <xf numFmtId="3" fontId="61" fillId="3" borderId="1" applyAlignment="1" pivotButton="0" quotePrefix="0" xfId="99">
      <alignment horizontal="right" vertical="center"/>
    </xf>
    <xf numFmtId="0" fontId="61" fillId="3" borderId="1" applyAlignment="1" pivotButton="0" quotePrefix="0" xfId="0">
      <alignment vertical="center"/>
    </xf>
    <xf numFmtId="0" fontId="63" fillId="3" borderId="1" applyAlignment="1" pivotButton="0" quotePrefix="0" xfId="0">
      <alignment vertical="center" wrapText="1"/>
    </xf>
    <xf numFmtId="0" fontId="63" fillId="42" borderId="0" applyAlignment="1" pivotButton="0" quotePrefix="0" xfId="0">
      <alignment vertical="center"/>
    </xf>
    <xf numFmtId="0" fontId="63" fillId="58" borderId="1" applyAlignment="1" pivotButton="0" quotePrefix="0" xfId="0">
      <alignment vertical="center" wrapText="1"/>
    </xf>
    <xf numFmtId="3" fontId="75" fillId="0" borderId="0" applyAlignment="1" pivotButton="0" quotePrefix="0" xfId="99">
      <alignment horizontal="right" vertical="center"/>
    </xf>
    <xf numFmtId="0" fontId="61" fillId="61" borderId="1" applyAlignment="1" pivotButton="0" quotePrefix="0" xfId="0">
      <alignment vertical="center" wrapText="1"/>
    </xf>
    <xf numFmtId="169" fontId="63" fillId="61" borderId="1" applyAlignment="1" pivotButton="0" quotePrefix="0" xfId="99">
      <alignment horizontal="right" vertical="center"/>
    </xf>
    <xf numFmtId="169" fontId="63" fillId="61" borderId="1" applyAlignment="1" pivotButton="0" quotePrefix="0" xfId="99">
      <alignment horizontal="right" vertical="center"/>
    </xf>
    <xf numFmtId="170" fontId="63" fillId="58" borderId="1" applyAlignment="1" pivotButton="0" quotePrefix="0" xfId="0">
      <alignment vertical="center" wrapText="1"/>
    </xf>
    <xf numFmtId="3" fontId="63" fillId="42" borderId="0" applyAlignment="1" pivotButton="0" quotePrefix="0" xfId="99">
      <alignment horizontal="right" vertical="center"/>
    </xf>
    <xf numFmtId="3" fontId="76" fillId="42" borderId="0" applyAlignment="1" pivotButton="0" quotePrefix="0" xfId="99">
      <alignment horizontal="right" vertical="center"/>
    </xf>
    <xf numFmtId="3" fontId="61" fillId="42" borderId="0" applyAlignment="1" applyProtection="1" pivotButton="0" quotePrefix="0" xfId="99">
      <alignment vertical="center"/>
      <protection locked="1" hidden="1"/>
    </xf>
    <xf numFmtId="3" fontId="61" fillId="42" borderId="0" applyAlignment="1" pivotButton="0" quotePrefix="0" xfId="99">
      <alignment horizontal="right" vertical="center"/>
    </xf>
    <xf numFmtId="3" fontId="63" fillId="0" borderId="0" applyAlignment="1" applyProtection="1" pivotButton="0" quotePrefix="0" xfId="99">
      <alignment horizontal="right"/>
      <protection locked="0" hidden="0"/>
    </xf>
    <xf numFmtId="3" fontId="61" fillId="0" borderId="0" applyAlignment="1" pivotButton="0" quotePrefix="0" xfId="99">
      <alignment horizontal="right"/>
    </xf>
    <xf numFmtId="3" fontId="61" fillId="42" borderId="0" applyAlignment="1" pivotButton="0" quotePrefix="0" xfId="99">
      <alignment horizontal="right"/>
    </xf>
    <xf numFmtId="169" fontId="63" fillId="3" borderId="1" applyAlignment="1" pivotButton="0" quotePrefix="0" xfId="99">
      <alignment horizontal="right" vertical="center"/>
    </xf>
    <xf numFmtId="3" fontId="63" fillId="0" borderId="0" applyAlignment="1" pivotButton="0" quotePrefix="0" xfId="99">
      <alignment horizontal="right"/>
    </xf>
    <xf numFmtId="0" fontId="62" fillId="61" borderId="1" applyAlignment="1" pivotButton="0" quotePrefix="0" xfId="0">
      <alignment horizontal="left" vertical="center" wrapText="1"/>
    </xf>
    <xf numFmtId="0" fontId="77" fillId="61" borderId="1" pivotButton="0" quotePrefix="0" xfId="0"/>
    <xf numFmtId="0" fontId="77" fillId="0" borderId="0" pivotButton="0" quotePrefix="0" xfId="0"/>
    <xf numFmtId="0" fontId="62" fillId="61" borderId="1" applyAlignment="1" pivotButton="0" quotePrefix="0" xfId="0">
      <alignment horizontal="center" vertical="center" wrapText="1"/>
    </xf>
    <xf numFmtId="169" fontId="61" fillId="0" borderId="1" applyAlignment="1" applyProtection="1" pivotButton="0" quotePrefix="0" xfId="100">
      <alignment horizontal="right" vertical="center"/>
      <protection locked="0" hidden="0"/>
    </xf>
    <xf numFmtId="171" fontId="61" fillId="0" borderId="1" applyAlignment="1" pivotButton="0" quotePrefix="0" xfId="100">
      <alignment horizontal="right" vertical="center"/>
    </xf>
    <xf numFmtId="0" fontId="61" fillId="3" borderId="1" applyAlignment="1" pivotButton="0" quotePrefix="0" xfId="0">
      <alignment horizontal="left" vertical="center"/>
    </xf>
    <xf numFmtId="171" fontId="61" fillId="0" borderId="1" applyAlignment="1" pivotButton="0" quotePrefix="0" xfId="100">
      <alignment horizontal="right" vertical="center"/>
    </xf>
    <xf numFmtId="172" fontId="61" fillId="61" borderId="1" applyAlignment="1" pivotButton="0" quotePrefix="0" xfId="100">
      <alignment horizontal="center" vertical="center"/>
    </xf>
    <xf numFmtId="172" fontId="63" fillId="61" borderId="1" applyAlignment="1" pivotButton="0" quotePrefix="0" xfId="100">
      <alignment horizontal="center" vertical="center" wrapText="1"/>
    </xf>
    <xf numFmtId="172" fontId="63" fillId="57" borderId="1" applyAlignment="1" pivotButton="0" quotePrefix="0" xfId="100">
      <alignment horizontal="center" vertical="center"/>
    </xf>
    <xf numFmtId="172" fontId="63" fillId="57" borderId="1" applyAlignment="1" pivotButton="0" quotePrefix="0" xfId="100">
      <alignment horizontal="center" vertical="center" wrapText="1"/>
    </xf>
    <xf numFmtId="0" fontId="63" fillId="57" borderId="1" applyAlignment="1" pivotButton="0" quotePrefix="0" xfId="0">
      <alignment horizontal="left" vertical="center" wrapText="1"/>
    </xf>
    <xf numFmtId="0" fontId="61" fillId="57" borderId="1" pivotButton="0" quotePrefix="0" xfId="0"/>
    <xf numFmtId="2" fontId="63" fillId="58" borderId="1" applyAlignment="1" pivotButton="0" quotePrefix="0" xfId="0">
      <alignment horizontal="center" vertical="center" wrapText="1"/>
    </xf>
    <xf numFmtId="172" fontId="63" fillId="58" borderId="7" applyAlignment="1" applyProtection="1" pivotButton="0" quotePrefix="0" xfId="100">
      <alignment horizontal="center" vertical="center"/>
      <protection locked="0" hidden="0"/>
    </xf>
    <xf numFmtId="172" fontId="63" fillId="58" borderId="7" applyAlignment="1" pivotButton="0" quotePrefix="0" xfId="100">
      <alignment horizontal="center" vertical="center" wrapText="1"/>
    </xf>
    <xf numFmtId="0" fontId="63" fillId="58" borderId="8" applyAlignment="1" pivotButton="0" quotePrefix="0" xfId="0">
      <alignment horizontal="left" vertical="center" wrapText="1"/>
    </xf>
    <xf numFmtId="0" fontId="61" fillId="58" borderId="1" pivotButton="0" quotePrefix="0" xfId="0"/>
    <xf numFmtId="0" fontId="63" fillId="58" borderId="17" applyAlignment="1" pivotButton="0" quotePrefix="0" xfId="0">
      <alignment horizontal="center" vertical="center" wrapText="1"/>
    </xf>
    <xf numFmtId="169" fontId="61" fillId="0" borderId="1" applyAlignment="1" applyProtection="1" pivotButton="0" quotePrefix="0" xfId="100">
      <alignment horizontal="right" vertical="center"/>
      <protection locked="0" hidden="0"/>
    </xf>
    <xf numFmtId="172" fontId="63" fillId="3" borderId="1" applyAlignment="1" pivotButton="0" quotePrefix="0" xfId="100">
      <alignment horizontal="center" vertical="center"/>
    </xf>
    <xf numFmtId="172" fontId="63" fillId="3" borderId="1" applyAlignment="1" pivotButton="0" quotePrefix="0" xfId="100">
      <alignment horizontal="center" vertical="center" wrapText="1"/>
    </xf>
    <xf numFmtId="0" fontId="63" fillId="3" borderId="1" applyAlignment="1" pivotButton="0" quotePrefix="0" xfId="0">
      <alignment horizontal="left" vertical="center" wrapText="1"/>
    </xf>
    <xf numFmtId="0" fontId="61" fillId="58" borderId="17" pivotButton="0" quotePrefix="0" xfId="0"/>
    <xf numFmtId="0" fontId="63" fillId="58" borderId="4" applyAlignment="1" pivotButton="0" quotePrefix="0" xfId="0">
      <alignment horizontal="center" vertical="center" wrapText="1"/>
    </xf>
    <xf numFmtId="172" fontId="63" fillId="58" borderId="1" pivotButton="0" quotePrefix="0" xfId="0"/>
    <xf numFmtId="172" fontId="63" fillId="58" borderId="1" applyAlignment="1" applyProtection="1" pivotButton="0" quotePrefix="0" xfId="100">
      <alignment horizontal="center" vertical="center"/>
      <protection locked="0" hidden="0"/>
    </xf>
    <xf numFmtId="172" fontId="63" fillId="58" borderId="1" applyAlignment="1" pivotButton="0" quotePrefix="0" xfId="100">
      <alignment horizontal="center" vertical="center" wrapText="1"/>
    </xf>
    <xf numFmtId="0" fontId="63" fillId="58" borderId="1" applyAlignment="1" pivotButton="0" quotePrefix="0" xfId="0">
      <alignment horizontal="left" vertical="center" wrapText="1"/>
    </xf>
    <xf numFmtId="0" fontId="63" fillId="58" borderId="1" pivotButton="0" quotePrefix="0" xfId="0"/>
    <xf numFmtId="0" fontId="63" fillId="0" borderId="0" pivotButton="0" quotePrefix="0" xfId="0"/>
    <xf numFmtId="2" fontId="63" fillId="45" borderId="1" applyAlignment="1" pivotButton="0" quotePrefix="0" xfId="0">
      <alignment horizontal="center" vertical="center" wrapText="1"/>
    </xf>
    <xf numFmtId="2" fontId="63" fillId="45" borderId="7" applyAlignment="1" pivotButton="0" quotePrefix="0" xfId="0">
      <alignment horizontal="center" vertical="center" wrapText="1"/>
    </xf>
    <xf numFmtId="2" fontId="63" fillId="45" borderId="8" applyAlignment="1" pivotButton="0" quotePrefix="0" xfId="0">
      <alignment horizontal="center" vertical="center" wrapText="1"/>
    </xf>
    <xf numFmtId="2" fontId="63" fillId="45" borderId="1" applyAlignment="1" pivotButton="0" quotePrefix="0" xfId="99">
      <alignment horizontal="center" vertical="center" wrapText="1"/>
    </xf>
    <xf numFmtId="2" fontId="63" fillId="0" borderId="0" applyAlignment="1" pivotButton="0" quotePrefix="0" xfId="99">
      <alignment horizontal="center" vertical="center" wrapText="1"/>
    </xf>
    <xf numFmtId="169" fontId="61" fillId="0" borderId="1" applyAlignment="1" applyProtection="1" pivotButton="0" quotePrefix="0" xfId="0">
      <alignment horizontal="right" vertical="center"/>
      <protection locked="0" hidden="0"/>
    </xf>
    <xf numFmtId="171" fontId="61" fillId="0" borderId="1" applyAlignment="1" pivotButton="0" quotePrefix="0" xfId="0">
      <alignment horizontal="right" vertical="center"/>
    </xf>
    <xf numFmtId="0" fontId="61" fillId="3" borderId="12" applyAlignment="1" pivotButton="0" quotePrefix="0" xfId="0">
      <alignment horizontal="left" vertical="center" wrapText="1"/>
    </xf>
    <xf numFmtId="0" fontId="61" fillId="3" borderId="18" applyAlignment="1" pivotButton="0" quotePrefix="0" xfId="0">
      <alignment horizontal="left" vertical="center" wrapText="1"/>
    </xf>
    <xf numFmtId="0" fontId="61" fillId="0" borderId="0" applyAlignment="1" pivotButton="0" quotePrefix="0" xfId="0">
      <alignment horizontal="center" vertical="center" wrapText="1"/>
    </xf>
    <xf numFmtId="169" fontId="61" fillId="3" borderId="1" applyAlignment="1" pivotButton="0" quotePrefix="0" xfId="0">
      <alignment horizontal="left" vertical="center" wrapText="1"/>
    </xf>
    <xf numFmtId="0" fontId="61" fillId="3" borderId="0" applyAlignment="1" pivotButton="0" quotePrefix="0" xfId="0">
      <alignment horizontal="left" vertical="center" wrapText="1"/>
    </xf>
    <xf numFmtId="0" fontId="61" fillId="3" borderId="19" applyAlignment="1" pivotButton="0" quotePrefix="0" xfId="0">
      <alignment horizontal="left" vertical="center" wrapText="1"/>
    </xf>
    <xf numFmtId="3" fontId="61" fillId="0" borderId="0" applyAlignment="1" pivotButton="0" quotePrefix="0" xfId="99">
      <alignment horizontal="right"/>
    </xf>
    <xf numFmtId="0" fontId="61" fillId="3" borderId="1" applyAlignment="1" pivotButton="0" quotePrefix="0" xfId="0">
      <alignment horizontal="center" vertical="center" wrapText="1"/>
    </xf>
    <xf numFmtId="3" fontId="61" fillId="42" borderId="0" applyAlignment="1" applyProtection="1" pivotButton="0" quotePrefix="0" xfId="99">
      <alignment horizontal="right"/>
      <protection locked="0" hidden="0"/>
    </xf>
    <xf numFmtId="0" fontId="61" fillId="42" borderId="1" applyAlignment="1" pivotButton="0" quotePrefix="0" xfId="0">
      <alignment vertical="center" wrapText="1"/>
    </xf>
    <xf numFmtId="0" fontId="61" fillId="3" borderId="0" applyAlignment="1" pivotButton="0" quotePrefix="0" xfId="0">
      <alignment wrapText="1"/>
    </xf>
    <xf numFmtId="0" fontId="61" fillId="3" borderId="19" applyAlignment="1" pivotButton="0" quotePrefix="0" xfId="0">
      <alignment wrapText="1"/>
    </xf>
    <xf numFmtId="169" fontId="61" fillId="42" borderId="1" applyAlignment="1" applyProtection="1" pivotButton="0" quotePrefix="0" xfId="99">
      <alignment horizontal="right" vertical="center"/>
      <protection locked="0" hidden="0"/>
    </xf>
    <xf numFmtId="165" fontId="61" fillId="0" borderId="0" applyAlignment="1" pivotButton="0" quotePrefix="0" xfId="99">
      <alignment horizontal="center"/>
    </xf>
    <xf numFmtId="0" fontId="61" fillId="3" borderId="5" applyAlignment="1" pivotButton="0" quotePrefix="0" xfId="0">
      <alignment wrapText="1"/>
    </xf>
    <xf numFmtId="0" fontId="61" fillId="3" borderId="20" applyAlignment="1" pivotButton="0" quotePrefix="0" xfId="0">
      <alignment wrapText="1"/>
    </xf>
    <xf numFmtId="0" fontId="61" fillId="0" borderId="0" applyAlignment="1" pivotButton="0" quotePrefix="0" xfId="0">
      <alignment horizontal="center" vertical="center"/>
    </xf>
    <xf numFmtId="0" fontId="61" fillId="0" borderId="0" applyAlignment="1" pivotButton="0" quotePrefix="0" xfId="0">
      <alignment horizontal="left"/>
    </xf>
    <xf numFmtId="0" fontId="61" fillId="0" borderId="0" applyAlignment="1" pivotButton="0" quotePrefix="0" xfId="0">
      <alignment wrapText="1"/>
    </xf>
    <xf numFmtId="165" fontId="61" fillId="0" borderId="0" applyAlignment="1" pivotButton="0" quotePrefix="0" xfId="99">
      <alignment horizontal="center"/>
    </xf>
    <xf numFmtId="0" fontId="78" fillId="56" borderId="1" applyAlignment="1" pivotButton="0" quotePrefix="0" xfId="0">
      <alignment horizontal="center" vertical="center" wrapText="1"/>
    </xf>
    <xf numFmtId="0" fontId="63" fillId="0" borderId="0" applyAlignment="1" pivotButton="0" quotePrefix="0" xfId="0">
      <alignment horizontal="center"/>
    </xf>
    <xf numFmtId="0" fontId="57" fillId="42" borderId="42" applyAlignment="1" pivotButton="0" quotePrefix="0" xfId="0">
      <alignment horizontal="left"/>
    </xf>
    <xf numFmtId="0" fontId="57" fillId="42" borderId="43" applyAlignment="1" pivotButton="0" quotePrefix="0" xfId="0">
      <alignment horizontal="left"/>
    </xf>
    <xf numFmtId="0" fontId="57" fillId="42" borderId="46" applyAlignment="1" pivotButton="0" quotePrefix="0" xfId="0">
      <alignment horizontal="left"/>
    </xf>
    <xf numFmtId="0" fontId="59" fillId="42" borderId="46" pivotButton="0" quotePrefix="0" xfId="0"/>
    <xf numFmtId="0" fontId="60" fillId="42" borderId="48" applyAlignment="1" pivotButton="0" quotePrefix="0" xfId="0">
      <alignment horizontal="left"/>
    </xf>
    <xf numFmtId="0" fontId="60" fillId="42" borderId="49" applyAlignment="1" pivotButton="0" quotePrefix="0" xfId="0">
      <alignment horizontal="left"/>
    </xf>
    <xf numFmtId="0" fontId="57" fillId="0" borderId="2" applyAlignment="1" pivotButton="0" quotePrefix="0" xfId="0">
      <alignment horizontal="center" vertical="center"/>
    </xf>
    <xf numFmtId="0" fontId="8" fillId="57" borderId="2" pivotButton="0" quotePrefix="0" xfId="0"/>
    <xf numFmtId="0" fontId="57" fillId="0" borderId="10" applyAlignment="1" pivotButton="0" quotePrefix="0" xfId="0">
      <alignment horizontal="center" vertical="center"/>
    </xf>
    <xf numFmtId="0" fontId="60" fillId="58" borderId="7" pivotButton="0" quotePrefix="0" xfId="0"/>
    <xf numFmtId="0" fontId="60" fillId="58" borderId="18" pivotButton="0" quotePrefix="0" xfId="0"/>
    <xf numFmtId="172" fontId="57" fillId="0" borderId="1" applyAlignment="1" pivotButton="0" quotePrefix="0" xfId="100">
      <alignment horizontal="left" vertical="center" wrapText="1"/>
    </xf>
    <xf numFmtId="172" fontId="57" fillId="0" borderId="1" pivotButton="0" quotePrefix="0" xfId="100"/>
    <xf numFmtId="172" fontId="57" fillId="0" borderId="1" pivotButton="0" quotePrefix="0" xfId="0"/>
    <xf numFmtId="172" fontId="66" fillId="58" borderId="1" applyAlignment="1" pivotButton="0" quotePrefix="0" xfId="100">
      <alignment horizontal="left" vertical="center" wrapText="1"/>
    </xf>
    <xf numFmtId="172" fontId="60" fillId="58" borderId="1" pivotButton="0" quotePrefix="0" xfId="0"/>
    <xf numFmtId="0" fontId="8" fillId="58" borderId="7" applyAlignment="1" pivotButton="0" quotePrefix="0" xfId="0">
      <alignment vertical="center" wrapText="1"/>
    </xf>
    <xf numFmtId="0" fontId="8" fillId="58" borderId="18" applyAlignment="1" pivotButton="0" quotePrefix="0" xfId="0">
      <alignment vertical="center" wrapText="1"/>
    </xf>
    <xf numFmtId="172" fontId="67" fillId="0" borderId="1" applyAlignment="1" pivotButton="0" quotePrefix="0" xfId="100">
      <alignment horizontal="left" vertical="center" wrapText="1"/>
    </xf>
    <xf numFmtId="172" fontId="66" fillId="3" borderId="1" applyAlignment="1" pivotButton="0" quotePrefix="0" xfId="100">
      <alignment horizontal="left" vertical="center" wrapText="1"/>
    </xf>
    <xf numFmtId="172" fontId="57" fillId="3" borderId="1" pivotButton="0" quotePrefix="0" xfId="0"/>
    <xf numFmtId="172" fontId="57" fillId="58" borderId="1" pivotButton="0" quotePrefix="0" xfId="0"/>
    <xf numFmtId="0" fontId="3" fillId="65" borderId="7" applyAlignment="1" pivotButton="0" quotePrefix="0" xfId="0">
      <alignment vertical="center" wrapText="1"/>
    </xf>
    <xf numFmtId="0" fontId="3" fillId="65" borderId="18" applyAlignment="1" pivotButton="0" quotePrefix="0" xfId="0">
      <alignment vertical="center" wrapText="1"/>
    </xf>
    <xf numFmtId="0" fontId="8" fillId="58" borderId="5" applyAlignment="1" pivotButton="0" quotePrefix="0" xfId="0">
      <alignment vertical="center" wrapText="1"/>
    </xf>
    <xf numFmtId="172" fontId="67" fillId="58" borderId="1" applyAlignment="1" pivotButton="0" quotePrefix="0" xfId="100">
      <alignment horizontal="left" vertical="center" wrapText="1"/>
    </xf>
    <xf numFmtId="0" fontId="3" fillId="58" borderId="7" applyAlignment="1" pivotButton="0" quotePrefix="0" xfId="0">
      <alignment vertical="center" wrapText="1"/>
    </xf>
    <xf numFmtId="0" fontId="3" fillId="58" borderId="18" applyAlignment="1" pivotButton="0" quotePrefix="0" xfId="0">
      <alignment vertical="center" wrapText="1"/>
    </xf>
    <xf numFmtId="172" fontId="67" fillId="65" borderId="1" applyAlignment="1" pivotButton="0" quotePrefix="0" xfId="100">
      <alignment horizontal="left" vertical="center" wrapText="1"/>
    </xf>
    <xf numFmtId="164" fontId="8" fillId="7" borderId="1" pivotButton="0" quotePrefix="0" xfId="2"/>
    <xf numFmtId="164" fontId="8" fillId="7" borderId="1" pivotButton="0" quotePrefix="0" xfId="0"/>
    <xf numFmtId="169" fontId="57" fillId="42" borderId="0" pivotButton="0" quotePrefix="0" xfId="0"/>
    <xf numFmtId="3" fontId="61" fillId="0" borderId="0" pivotButton="0" quotePrefix="0" xfId="0"/>
    <xf numFmtId="173" fontId="0" fillId="0" borderId="0" pivotButton="0" quotePrefix="0" xfId="0"/>
    <xf numFmtId="165" fontId="0" fillId="0" borderId="1" pivotButton="0" quotePrefix="0" xfId="1"/>
    <xf numFmtId="10" fontId="0" fillId="0" borderId="0" pivotButton="0" quotePrefix="0" xfId="0"/>
    <xf numFmtId="43" fontId="46" fillId="0" borderId="0" pivotButton="0" quotePrefix="0" xfId="1"/>
    <xf numFmtId="4" fontId="0" fillId="0" borderId="0" pivotButton="0" quotePrefix="0" xfId="0"/>
    <xf numFmtId="10" fontId="0" fillId="52" borderId="33" applyAlignment="1" pivotButton="0" quotePrefix="0" xfId="0">
      <alignment horizontal="center" vertical="center" wrapText="1"/>
    </xf>
    <xf numFmtId="0" fontId="0" fillId="46" borderId="0" pivotButton="0" quotePrefix="0" xfId="0"/>
    <xf numFmtId="43" fontId="0" fillId="0" borderId="0" pivotButton="0" quotePrefix="0" xfId="0"/>
    <xf numFmtId="0" fontId="85" fillId="68" borderId="0" applyAlignment="1" pivotButton="0" quotePrefix="0" xfId="0">
      <alignment horizontal="center" vertical="center"/>
    </xf>
    <xf numFmtId="0" fontId="85" fillId="68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10" borderId="0" pivotButton="0" quotePrefix="0" xfId="0"/>
    <xf numFmtId="4" fontId="0" fillId="0" borderId="0" applyAlignment="1" pivotButton="0" quotePrefix="0" xfId="0">
      <alignment horizontal="right" vertical="center"/>
    </xf>
    <xf numFmtId="165" fontId="86" fillId="0" borderId="0" applyAlignment="1" pivotButton="0" quotePrefix="0" xfId="1">
      <alignment horizontal="center" vertical="center"/>
    </xf>
    <xf numFmtId="165" fontId="86" fillId="50" borderId="0" applyAlignment="1" pivotButton="0" quotePrefix="0" xfId="1">
      <alignment horizontal="center" vertical="center"/>
    </xf>
    <xf numFmtId="0" fontId="85" fillId="0" borderId="0" applyAlignment="1" pivotButton="0" quotePrefix="0" xfId="0">
      <alignment horizontal="center" vertical="center"/>
    </xf>
    <xf numFmtId="0" fontId="85" fillId="10" borderId="0" pivotButton="0" quotePrefix="0" xfId="0"/>
    <xf numFmtId="0" fontId="85" fillId="0" borderId="0" pivotButton="0" quotePrefix="0" xfId="0"/>
    <xf numFmtId="4" fontId="85" fillId="0" borderId="0" applyAlignment="1" pivotButton="0" quotePrefix="0" xfId="0">
      <alignment horizontal="right" vertical="center"/>
    </xf>
    <xf numFmtId="165" fontId="86" fillId="10" borderId="0" applyAlignment="1" pivotButton="0" quotePrefix="0" xfId="1">
      <alignment horizontal="center" vertical="center"/>
    </xf>
    <xf numFmtId="166" fontId="87" fillId="0" borderId="1" pivotButton="0" quotePrefix="0" xfId="2"/>
    <xf numFmtId="0" fontId="0" fillId="42" borderId="0" pivotButton="0" quotePrefix="0" xfId="0"/>
    <xf numFmtId="0" fontId="8" fillId="69" borderId="0" pivotButton="0" quotePrefix="0" xfId="0"/>
    <xf numFmtId="0" fontId="0" fillId="69" borderId="0" pivotButton="0" quotePrefix="0" xfId="0"/>
    <xf numFmtId="0" fontId="0" fillId="59" borderId="0" pivotButton="0" quotePrefix="0" xfId="0"/>
    <xf numFmtId="0" fontId="0" fillId="59" borderId="5" pivotButton="0" quotePrefix="0" xfId="0"/>
    <xf numFmtId="167" fontId="0" fillId="42" borderId="0" pivotButton="0" quotePrefix="0" xfId="99"/>
    <xf numFmtId="0" fontId="88" fillId="42" borderId="0" pivotButton="0" quotePrefix="0" xfId="0"/>
    <xf numFmtId="9" fontId="0" fillId="42" borderId="0" pivotButton="0" quotePrefix="0" xfId="0"/>
    <xf numFmtId="0" fontId="8" fillId="42" borderId="0" pivotButton="0" quotePrefix="0" xfId="0"/>
    <xf numFmtId="167" fontId="0" fillId="42" borderId="1" applyProtection="1" pivotButton="0" quotePrefix="0" xfId="99">
      <protection locked="0" hidden="0"/>
    </xf>
    <xf numFmtId="0" fontId="89" fillId="42" borderId="0" pivotButton="0" quotePrefix="0" xfId="0"/>
    <xf numFmtId="0" fontId="0" fillId="44" borderId="21" pivotButton="0" quotePrefix="0" xfId="0"/>
    <xf numFmtId="0" fontId="0" fillId="44" borderId="12" pivotButton="0" quotePrefix="0" xfId="0"/>
    <xf numFmtId="167" fontId="0" fillId="44" borderId="12" pivotButton="0" quotePrefix="0" xfId="99"/>
    <xf numFmtId="0" fontId="0" fillId="44" borderId="18" pivotButton="0" quotePrefix="0" xfId="0"/>
    <xf numFmtId="0" fontId="0" fillId="44" borderId="4" pivotButton="0" quotePrefix="0" xfId="0"/>
    <xf numFmtId="0" fontId="0" fillId="44" borderId="5" pivotButton="0" quotePrefix="0" xfId="0"/>
    <xf numFmtId="167" fontId="0" fillId="44" borderId="5" pivotButton="0" quotePrefix="0" xfId="99"/>
    <xf numFmtId="0" fontId="0" fillId="44" borderId="20" pivotButton="0" quotePrefix="0" xfId="0"/>
    <xf numFmtId="0" fontId="0" fillId="42" borderId="21" pivotButton="0" quotePrefix="0" xfId="0"/>
    <xf numFmtId="0" fontId="0" fillId="42" borderId="12" pivotButton="0" quotePrefix="0" xfId="0"/>
    <xf numFmtId="0" fontId="0" fillId="42" borderId="18" pivotButton="0" quotePrefix="0" xfId="0"/>
    <xf numFmtId="0" fontId="0" fillId="44" borderId="17" pivotButton="0" quotePrefix="0" xfId="0"/>
    <xf numFmtId="0" fontId="0" fillId="44" borderId="0" pivotButton="0" quotePrefix="0" xfId="0"/>
    <xf numFmtId="167" fontId="0" fillId="44" borderId="0" pivotButton="0" quotePrefix="0" xfId="99"/>
    <xf numFmtId="0" fontId="0" fillId="42" borderId="19" pivotButton="0" quotePrefix="0" xfId="0"/>
    <xf numFmtId="0" fontId="0" fillId="42" borderId="17" pivotButton="0" quotePrefix="0" xfId="0"/>
    <xf numFmtId="0" fontId="8" fillId="44" borderId="17" pivotButton="0" quotePrefix="0" xfId="0"/>
    <xf numFmtId="0" fontId="8" fillId="44" borderId="0" pivotButton="0" quotePrefix="0" xfId="0"/>
    <xf numFmtId="167" fontId="8" fillId="44" borderId="0" pivotButton="0" quotePrefix="0" xfId="0"/>
    <xf numFmtId="0" fontId="90" fillId="42" borderId="0" pivotButton="0" quotePrefix="0" xfId="0"/>
    <xf numFmtId="0" fontId="0" fillId="42" borderId="4" pivotButton="0" quotePrefix="0" xfId="0"/>
    <xf numFmtId="0" fontId="0" fillId="42" borderId="5" pivotButton="0" quotePrefix="0" xfId="0"/>
    <xf numFmtId="0" fontId="0" fillId="42" borderId="20" pivotButton="0" quotePrefix="0" xfId="0"/>
    <xf numFmtId="0" fontId="38" fillId="70" borderId="0" pivotButton="0" quotePrefix="0" xfId="0"/>
    <xf numFmtId="0" fontId="0" fillId="70" borderId="0" pivotButton="0" quotePrefix="0" xfId="0"/>
    <xf numFmtId="0" fontId="38" fillId="42" borderId="0" pivotButton="0" quotePrefix="0" xfId="0"/>
    <xf numFmtId="167" fontId="0" fillId="0" borderId="0" pivotButton="0" quotePrefix="0" xfId="99"/>
    <xf numFmtId="0" fontId="93" fillId="68" borderId="0" applyAlignment="1" pivotButton="0" quotePrefix="0" xfId="0">
      <alignment horizontal="center" vertical="center"/>
    </xf>
    <xf numFmtId="0" fontId="93" fillId="68" borderId="0" applyAlignment="1" pivotButton="0" quotePrefix="0" xfId="0">
      <alignment horizontal="center" vertical="center" wrapText="1"/>
    </xf>
    <xf numFmtId="0" fontId="93" fillId="71" borderId="0" applyAlignment="1" pivotButton="0" quotePrefix="0" xfId="0">
      <alignment horizontal="center" vertical="center"/>
    </xf>
    <xf numFmtId="0" fontId="93" fillId="71" borderId="0" pivotButton="0" quotePrefix="0" xfId="0"/>
    <xf numFmtId="4" fontId="93" fillId="71" borderId="0" applyAlignment="1" pivotButton="0" quotePrefix="0" xfId="0">
      <alignment horizontal="right" vertical="center"/>
    </xf>
    <xf numFmtId="167" fontId="94" fillId="0" borderId="0" applyAlignment="1" pivotButton="0" quotePrefix="0" xfId="99">
      <alignment horizontal="center" vertical="center"/>
    </xf>
    <xf numFmtId="0" fontId="93" fillId="0" borderId="0" applyAlignment="1" pivotButton="0" quotePrefix="0" xfId="0">
      <alignment horizontal="center" vertical="center"/>
    </xf>
    <xf numFmtId="0" fontId="93" fillId="0" borderId="0" pivotButton="0" quotePrefix="0" xfId="0"/>
    <xf numFmtId="4" fontId="93" fillId="0" borderId="0" applyAlignment="1" pivotButton="0" quotePrefix="0" xfId="0">
      <alignment horizontal="right" vertical="center"/>
    </xf>
    <xf numFmtId="3" fontId="93" fillId="0" borderId="0" applyAlignment="1" pivotButton="0" quotePrefix="0" xfId="0">
      <alignment horizontal="right" vertical="center"/>
    </xf>
    <xf numFmtId="0" fontId="93" fillId="10" borderId="0" pivotButton="0" quotePrefix="0" xfId="0"/>
    <xf numFmtId="167" fontId="94" fillId="9" borderId="0" applyAlignment="1" pivotButton="0" quotePrefix="0" xfId="99">
      <alignment horizontal="center" vertical="center"/>
    </xf>
    <xf numFmtId="167" fontId="94" fillId="0" borderId="0" applyAlignment="1" pivotButton="0" quotePrefix="0" xfId="99">
      <alignment horizontal="center" vertical="center"/>
    </xf>
    <xf numFmtId="167" fontId="0" fillId="10" borderId="0" pivotButton="0" quotePrefix="0" xfId="99"/>
    <xf numFmtId="4" fontId="0" fillId="10" borderId="0" pivotButton="0" quotePrefix="0" xfId="0"/>
    <xf numFmtId="0" fontId="93" fillId="0" borderId="0" applyAlignment="1" pivotButton="0" quotePrefix="0" xfId="0">
      <alignment horizontal="right" vertical="center"/>
    </xf>
    <xf numFmtId="0" fontId="85" fillId="71" borderId="0" applyAlignment="1" pivotButton="0" quotePrefix="0" xfId="0">
      <alignment horizontal="center" vertical="center"/>
    </xf>
    <xf numFmtId="0" fontId="85" fillId="71" borderId="0" pivotButton="0" quotePrefix="0" xfId="0"/>
    <xf numFmtId="4" fontId="85" fillId="71" borderId="0" applyAlignment="1" pivotButton="0" quotePrefix="0" xfId="0">
      <alignment horizontal="right" vertical="center"/>
    </xf>
    <xf numFmtId="4" fontId="94" fillId="0" borderId="0" applyAlignment="1" pivotButton="0" quotePrefix="0" xfId="0">
      <alignment horizontal="center" vertical="center"/>
    </xf>
    <xf numFmtId="0" fontId="85" fillId="0" borderId="0" applyAlignment="1" pivotButton="0" quotePrefix="0" xfId="0">
      <alignment horizontal="right" vertical="center"/>
    </xf>
    <xf numFmtId="0" fontId="95" fillId="0" borderId="0" pivotButton="0" quotePrefix="0" xfId="0"/>
    <xf numFmtId="0" fontId="96" fillId="0" borderId="0" applyAlignment="1" pivotButton="0" quotePrefix="0" xfId="0">
      <alignment vertical="center"/>
    </xf>
    <xf numFmtId="0" fontId="97" fillId="0" borderId="0" pivotButton="0" quotePrefix="0" xfId="0"/>
    <xf numFmtId="0" fontId="98" fillId="0" borderId="0" applyAlignment="1" pivotButton="0" quotePrefix="0" xfId="0">
      <alignment vertical="center"/>
    </xf>
    <xf numFmtId="0" fontId="96" fillId="0" borderId="0" pivotButton="0" quotePrefix="0" xfId="0"/>
    <xf numFmtId="167" fontId="97" fillId="0" borderId="0" pivotButton="0" quotePrefix="0" xfId="99"/>
    <xf numFmtId="167" fontId="97" fillId="0" borderId="0" pivotButton="0" quotePrefix="0" xfId="99"/>
    <xf numFmtId="0" fontId="100" fillId="0" borderId="0" pivotButton="0" quotePrefix="0" xfId="104"/>
    <xf numFmtId="167" fontId="96" fillId="0" borderId="0" pivotButton="0" quotePrefix="0" xfId="99"/>
    <xf numFmtId="167" fontId="97" fillId="0" borderId="0" applyAlignment="1" pivotButton="0" quotePrefix="0" xfId="99">
      <alignment horizontal="right"/>
    </xf>
    <xf numFmtId="167" fontId="97" fillId="0" borderId="0" applyAlignment="1" pivotButton="0" quotePrefix="0" xfId="99">
      <alignment horizontal="right"/>
    </xf>
    <xf numFmtId="174" fontId="0" fillId="0" borderId="0" pivotButton="0" quotePrefix="0" xfId="99"/>
    <xf numFmtId="175" fontId="97" fillId="0" borderId="0" applyAlignment="1" pivotButton="0" quotePrefix="0" xfId="99">
      <alignment horizontal="right"/>
    </xf>
    <xf numFmtId="167" fontId="97" fillId="0" borderId="0" pivotButton="0" quotePrefix="0" xfId="99"/>
    <xf numFmtId="167" fontId="97" fillId="0" borderId="0" pivotButton="0" quotePrefix="0" xfId="99"/>
    <xf numFmtId="167" fontId="97" fillId="0" borderId="5" applyAlignment="1" pivotButton="0" quotePrefix="0" xfId="99">
      <alignment horizontal="right"/>
    </xf>
    <xf numFmtId="167" fontId="97" fillId="0" borderId="5" pivotButton="0" quotePrefix="0" xfId="99"/>
    <xf numFmtId="167" fontId="97" fillId="0" borderId="5" pivotButton="0" quotePrefix="0" xfId="99"/>
    <xf numFmtId="167" fontId="96" fillId="0" borderId="0" applyAlignment="1" pivotButton="0" quotePrefix="0" xfId="99">
      <alignment horizontal="right"/>
    </xf>
    <xf numFmtId="167" fontId="96" fillId="0" borderId="0" pivotButton="0" quotePrefix="0" xfId="99"/>
    <xf numFmtId="167" fontId="96" fillId="0" borderId="0" applyAlignment="1" pivotButton="0" quotePrefix="0" xfId="99">
      <alignment horizontal="right"/>
    </xf>
    <xf numFmtId="9" fontId="96" fillId="0" borderId="0" pivotButton="0" quotePrefix="0" xfId="3"/>
    <xf numFmtId="167" fontId="96" fillId="0" borderId="0" pivotButton="0" quotePrefix="0" xfId="99"/>
    <xf numFmtId="167" fontId="96" fillId="0" borderId="0" pivotButton="0" quotePrefix="0" xfId="99"/>
    <xf numFmtId="0" fontId="101" fillId="0" borderId="0" pivotButton="0" quotePrefix="0" xfId="0"/>
    <xf numFmtId="49" fontId="102" fillId="0" borderId="0" applyAlignment="1" pivotButton="0" quotePrefix="0" xfId="0">
      <alignment horizontal="center"/>
    </xf>
    <xf numFmtId="167" fontId="101" fillId="0" borderId="12" applyAlignment="1" pivotButton="0" quotePrefix="0" xfId="99">
      <alignment horizontal="right"/>
    </xf>
    <xf numFmtId="167" fontId="101" fillId="0" borderId="12" applyAlignment="1" pivotButton="0" quotePrefix="0" xfId="99">
      <alignment horizontal="right"/>
    </xf>
    <xf numFmtId="0" fontId="102" fillId="0" borderId="0" pivotButton="0" quotePrefix="0" xfId="0"/>
    <xf numFmtId="167" fontId="102" fillId="0" borderId="0" applyAlignment="1" pivotButton="0" quotePrefix="0" xfId="99">
      <alignment horizontal="right"/>
    </xf>
    <xf numFmtId="167" fontId="102" fillId="0" borderId="0" applyAlignment="1" pivotButton="0" quotePrefix="0" xfId="99">
      <alignment horizontal="right"/>
    </xf>
    <xf numFmtId="167" fontId="101" fillId="0" borderId="77" applyAlignment="1" pivotButton="0" quotePrefix="0" xfId="99">
      <alignment horizontal="right"/>
    </xf>
    <xf numFmtId="167" fontId="101" fillId="0" borderId="77" applyAlignment="1" pivotButton="0" quotePrefix="0" xfId="99">
      <alignment horizontal="right"/>
    </xf>
    <xf numFmtId="0" fontId="96" fillId="0" borderId="0" applyAlignment="1" pivotButton="0" quotePrefix="0" xfId="0">
      <alignment horizontal="left"/>
    </xf>
    <xf numFmtId="0" fontId="100" fillId="0" borderId="0" pivotButton="0" quotePrefix="0" xfId="0"/>
    <xf numFmtId="167" fontId="95" fillId="0" borderId="0" pivotButton="0" quotePrefix="0" xfId="99"/>
    <xf numFmtId="167" fontId="97" fillId="0" borderId="0" pivotButton="0" quotePrefix="0" xfId="0"/>
    <xf numFmtId="0" fontId="103" fillId="0" borderId="0" pivotButton="0" quotePrefix="0" xfId="0"/>
    <xf numFmtId="0" fontId="38" fillId="0" borderId="0" pivotButton="0" quotePrefix="0" xfId="0"/>
    <xf numFmtId="167" fontId="96" fillId="0" borderId="78" pivotButton="0" quotePrefix="0" xfId="99"/>
    <xf numFmtId="167" fontId="96" fillId="0" borderId="78" pivotButton="0" quotePrefix="0" xfId="99"/>
    <xf numFmtId="167" fontId="95" fillId="0" borderId="0" pivotButton="0" quotePrefix="0" xfId="0"/>
    <xf numFmtId="0" fontId="87" fillId="0" borderId="1" pivotButton="0" quotePrefix="0" xfId="1"/>
    <xf numFmtId="43" fontId="87" fillId="0" borderId="1" pivotButton="0" quotePrefix="0" xfId="1"/>
    <xf numFmtId="165" fontId="87" fillId="0" borderId="1" pivotButton="0" quotePrefix="0" xfId="1"/>
    <xf numFmtId="0" fontId="1" fillId="42" borderId="0" pivotButton="0" quotePrefix="0" xfId="105"/>
    <xf numFmtId="167" fontId="0" fillId="42" borderId="0" applyProtection="1" pivotButton="0" quotePrefix="0" xfId="106">
      <protection locked="0" hidden="0"/>
    </xf>
    <xf numFmtId="0" fontId="105" fillId="42" borderId="5" applyAlignment="1" pivotButton="0" quotePrefix="0" xfId="105">
      <alignment vertical="top"/>
    </xf>
    <xf numFmtId="0" fontId="1" fillId="42" borderId="5" pivotButton="0" quotePrefix="0" xfId="105"/>
    <xf numFmtId="0" fontId="97" fillId="42" borderId="5" pivotButton="0" quotePrefix="0" xfId="105"/>
    <xf numFmtId="0" fontId="25" fillId="72" borderId="0" pivotButton="0" quotePrefix="0" xfId="105"/>
    <xf numFmtId="176" fontId="9" fillId="59" borderId="1" pivotButton="0" quotePrefix="0" xfId="106"/>
    <xf numFmtId="0" fontId="1" fillId="42" borderId="0" applyProtection="1" pivotButton="0" quotePrefix="0" xfId="105">
      <protection locked="0" hidden="0"/>
    </xf>
    <xf numFmtId="167" fontId="1" fillId="42" borderId="1" applyProtection="1" pivotButton="0" quotePrefix="0" xfId="106">
      <protection locked="0" hidden="0"/>
    </xf>
    <xf numFmtId="176" fontId="107" fillId="59" borderId="1" pivotButton="0" quotePrefix="0" xfId="106"/>
    <xf numFmtId="176" fontId="107" fillId="42" borderId="1" applyProtection="1" pivotButton="0" quotePrefix="0" xfId="106">
      <protection locked="0" hidden="0"/>
    </xf>
    <xf numFmtId="176" fontId="108" fillId="73" borderId="1" pivotButton="0" quotePrefix="0" xfId="106"/>
    <xf numFmtId="0" fontId="67" fillId="42" borderId="0" pivotButton="0" quotePrefix="0" xfId="105"/>
    <xf numFmtId="176" fontId="107" fillId="42" borderId="0" pivotButton="0" quotePrefix="0" xfId="106"/>
    <xf numFmtId="167" fontId="22" fillId="42" borderId="0" pivotButton="0" quotePrefix="0" xfId="106"/>
    <xf numFmtId="176" fontId="108" fillId="59" borderId="1" pivotButton="0" quotePrefix="0" xfId="106"/>
    <xf numFmtId="176" fontId="107" fillId="42" borderId="1" pivotButton="0" quotePrefix="0" xfId="106"/>
    <xf numFmtId="176" fontId="24" fillId="73" borderId="1" applyAlignment="1" pivotButton="0" quotePrefix="0" xfId="105">
      <alignment vertical="center"/>
    </xf>
    <xf numFmtId="9" fontId="0" fillId="42" borderId="0" pivotButton="0" quotePrefix="0" xfId="3"/>
    <xf numFmtId="166" fontId="0" fillId="0" borderId="0" pivotButton="0" quotePrefix="0" xfId="2"/>
    <xf numFmtId="165" fontId="0" fillId="0" borderId="0" pivotButton="0" quotePrefix="0" xfId="1"/>
    <xf numFmtId="0" fontId="57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109" fillId="0" borderId="0" pivotButton="0" quotePrefix="0" xfId="0"/>
    <xf numFmtId="0" fontId="0" fillId="74" borderId="0" pivotButton="0" quotePrefix="0" xfId="0"/>
    <xf numFmtId="0" fontId="110" fillId="74" borderId="0" pivotButton="0" quotePrefix="0" xfId="0"/>
    <xf numFmtId="167" fontId="0" fillId="0" borderId="0" pivotButton="0" quotePrefix="0" xfId="1"/>
    <xf numFmtId="167" fontId="109" fillId="0" borderId="0" pivotButton="0" quotePrefix="0" xfId="1"/>
    <xf numFmtId="167" fontId="0" fillId="74" borderId="0" pivotButton="0" quotePrefix="0" xfId="1"/>
    <xf numFmtId="167" fontId="0" fillId="0" borderId="0" pivotButton="0" quotePrefix="0" xfId="1"/>
    <xf numFmtId="167" fontId="0" fillId="74" borderId="0" pivotButton="0" quotePrefix="0" xfId="0"/>
    <xf numFmtId="0" fontId="57" fillId="42" borderId="32" pivotButton="0" quotePrefix="0" xfId="0"/>
    <xf numFmtId="0" fontId="57" fillId="42" borderId="31" pivotButton="0" quotePrefix="0" xfId="0"/>
    <xf numFmtId="0" fontId="3" fillId="0" borderId="0" applyAlignment="1" pivotButton="0" quotePrefix="0" xfId="0">
      <alignment wrapText="1"/>
    </xf>
    <xf numFmtId="0" fontId="57" fillId="42" borderId="13" pivotButton="0" quotePrefix="0" xfId="0"/>
    <xf numFmtId="0" fontId="57" fillId="42" borderId="14" pivotButton="0" quotePrefix="0" xfId="0"/>
    <xf numFmtId="0" fontId="57" fillId="42" borderId="15" pivotButton="0" quotePrefix="0" xfId="0"/>
    <xf numFmtId="0" fontId="60" fillId="42" borderId="0" applyAlignment="1" pivotButton="0" quotePrefix="0" xfId="0">
      <alignment horizontal="center" vertical="center"/>
    </xf>
    <xf numFmtId="0" fontId="113" fillId="42" borderId="0" pivotButton="0" quotePrefix="0" xfId="0"/>
    <xf numFmtId="0" fontId="60" fillId="42" borderId="0" applyAlignment="1" pivotButton="0" quotePrefix="0" xfId="0">
      <alignment horizontal="center"/>
    </xf>
    <xf numFmtId="0" fontId="60" fillId="42" borderId="0" pivotButton="0" quotePrefix="0" xfId="0"/>
    <xf numFmtId="0" fontId="60" fillId="0" borderId="0" applyAlignment="1" pivotButton="0" quotePrefix="0" xfId="0">
      <alignment horizontal="center" vertical="center" wrapText="1"/>
    </xf>
    <xf numFmtId="0" fontId="57" fillId="0" borderId="0" pivotButton="0" quotePrefix="0" xfId="0"/>
    <xf numFmtId="0" fontId="57" fillId="0" borderId="10" applyAlignment="1" pivotButton="0" quotePrefix="0" xfId="0">
      <alignment horizontal="center" vertical="center" wrapText="1"/>
    </xf>
    <xf numFmtId="0" fontId="3" fillId="57" borderId="12" applyAlignment="1" pivotButton="0" quotePrefix="0" xfId="0">
      <alignment vertical="center" wrapText="1"/>
    </xf>
    <xf numFmtId="0" fontId="3" fillId="57" borderId="7" applyAlignment="1" pivotButton="0" quotePrefix="0" xfId="0">
      <alignment vertical="center" wrapText="1"/>
    </xf>
    <xf numFmtId="0" fontId="3" fillId="57" borderId="8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57" fillId="57" borderId="10" pivotButton="0" quotePrefix="0" xfId="0"/>
    <xf numFmtId="3" fontId="61" fillId="0" borderId="1" applyAlignment="1" applyProtection="1" pivotButton="0" quotePrefix="0" xfId="100">
      <alignment horizontal="right"/>
      <protection locked="0" hidden="0"/>
    </xf>
    <xf numFmtId="3" fontId="61" fillId="0" borderId="1" applyAlignment="1" applyProtection="1" pivotButton="0" quotePrefix="0" xfId="0">
      <alignment horizontal="right"/>
      <protection locked="0" hidden="0"/>
    </xf>
    <xf numFmtId="3" fontId="61" fillId="0" borderId="1" applyAlignment="1" applyProtection="1" pivotButton="0" quotePrefix="0" xfId="0">
      <alignment horizontal="right" vertical="center"/>
      <protection locked="0" hidden="0"/>
    </xf>
    <xf numFmtId="3" fontId="61" fillId="0" borderId="1" applyAlignment="1" applyProtection="1" pivotButton="0" quotePrefix="0" xfId="100">
      <alignment horizontal="right" vertical="center"/>
      <protection locked="0" hidden="0"/>
    </xf>
    <xf numFmtId="3" fontId="60" fillId="58" borderId="6" applyAlignment="1" pivotButton="0" quotePrefix="0" xfId="0">
      <alignment horizontal="right" vertical="center"/>
    </xf>
    <xf numFmtId="172" fontId="60" fillId="0" borderId="0" applyAlignment="1" pivotButton="0" quotePrefix="0" xfId="0">
      <alignment horizontal="center"/>
    </xf>
    <xf numFmtId="0" fontId="60" fillId="0" borderId="0" applyAlignment="1" pivotButton="0" quotePrefix="0" xfId="0">
      <alignment horizontal="center"/>
    </xf>
    <xf numFmtId="0" fontId="57" fillId="57" borderId="4" pivotButton="0" quotePrefix="0" xfId="0"/>
    <xf numFmtId="0" fontId="60" fillId="57" borderId="8" applyAlignment="1" pivotButton="0" quotePrefix="0" xfId="0">
      <alignment horizontal="center" vertical="center" wrapText="1"/>
    </xf>
    <xf numFmtId="3" fontId="60" fillId="58" borderId="1" applyAlignment="1" pivotButton="0" quotePrefix="0" xfId="0">
      <alignment horizontal="right" vertical="center"/>
    </xf>
    <xf numFmtId="0" fontId="3" fillId="6" borderId="12" applyAlignment="1" pivotButton="0" quotePrefix="0" xfId="0">
      <alignment vertical="center" wrapText="1"/>
    </xf>
    <xf numFmtId="0" fontId="3" fillId="6" borderId="7" applyAlignment="1" pivotButton="0" quotePrefix="0" xfId="0">
      <alignment vertical="center" wrapText="1"/>
    </xf>
    <xf numFmtId="0" fontId="3" fillId="6" borderId="8" applyAlignment="1" pivotButton="0" quotePrefix="0" xfId="0">
      <alignment vertical="center" wrapText="1"/>
    </xf>
    <xf numFmtId="0" fontId="57" fillId="6" borderId="10" pivotButton="0" quotePrefix="0" xfId="0"/>
    <xf numFmtId="0" fontId="57" fillId="0" borderId="3" applyAlignment="1" pivotButton="0" quotePrefix="0" xfId="0">
      <alignment horizontal="center" vertical="center" wrapText="1"/>
    </xf>
    <xf numFmtId="0" fontId="57" fillId="6" borderId="4" pivotButton="0" quotePrefix="0" xfId="0"/>
    <xf numFmtId="0" fontId="60" fillId="6" borderId="8" applyAlignment="1" pivotButton="0" quotePrefix="0" xfId="0">
      <alignment horizontal="center" vertical="center"/>
    </xf>
    <xf numFmtId="0" fontId="57" fillId="42" borderId="0" applyAlignment="1" pivotButton="0" quotePrefix="0" xfId="0">
      <alignment horizontal="center" vertical="center" wrapText="1"/>
    </xf>
    <xf numFmtId="172" fontId="60" fillId="42" borderId="0" applyAlignment="1" pivotButton="0" quotePrefix="0" xfId="0">
      <alignment horizontal="center"/>
    </xf>
    <xf numFmtId="0" fontId="57" fillId="0" borderId="2" applyAlignment="1" pivotButton="0" quotePrefix="0" xfId="0">
      <alignment horizontal="center" vertical="center" wrapText="1"/>
    </xf>
    <xf numFmtId="3" fontId="57" fillId="0" borderId="1" applyAlignment="1" applyProtection="1" pivotButton="0" quotePrefix="0" xfId="100">
      <alignment horizontal="right" vertical="center"/>
      <protection locked="0" hidden="0"/>
    </xf>
    <xf numFmtId="3" fontId="57" fillId="58" borderId="1" applyAlignment="1" pivotButton="0" quotePrefix="0" xfId="99">
      <alignment horizontal="right" vertical="center"/>
    </xf>
    <xf numFmtId="3" fontId="57" fillId="0" borderId="1" applyAlignment="1" applyProtection="1" pivotButton="0" quotePrefix="0" xfId="0">
      <alignment horizontal="right" vertical="center"/>
      <protection locked="0" hidden="0"/>
    </xf>
    <xf numFmtId="0" fontId="113" fillId="42" borderId="0" applyAlignment="1" pivotButton="0" quotePrefix="0" xfId="0">
      <alignment horizontal="left"/>
    </xf>
    <xf numFmtId="3" fontId="57" fillId="42" borderId="1" applyAlignment="1" applyProtection="1" pivotButton="0" quotePrefix="0" xfId="0">
      <alignment horizontal="right" vertical="center"/>
      <protection locked="0" hidden="0"/>
    </xf>
    <xf numFmtId="0" fontId="57" fillId="42" borderId="10" applyAlignment="1" pivotButton="0" quotePrefix="0" xfId="0">
      <alignment horizontal="center" vertical="center" wrapText="1"/>
    </xf>
    <xf numFmtId="0" fontId="57" fillId="42" borderId="3" applyAlignment="1" pivotButton="0" quotePrefix="0" xfId="0">
      <alignment horizontal="center" vertical="center" wrapText="1"/>
    </xf>
    <xf numFmtId="169" fontId="0" fillId="0" borderId="0" pivotButton="0" quotePrefix="0" xfId="0"/>
    <xf numFmtId="167" fontId="110" fillId="0" borderId="0" pivotButton="0" quotePrefix="0" xfId="99"/>
    <xf numFmtId="167" fontId="36" fillId="9" borderId="0" pivotButton="0" quotePrefix="0" xfId="99"/>
    <xf numFmtId="167" fontId="36" fillId="0" borderId="0" pivotButton="0" quotePrefix="0" xfId="99"/>
    <xf numFmtId="174" fontId="0" fillId="0" borderId="0" pivotButton="0" quotePrefix="0" xfId="0"/>
    <xf numFmtId="167" fontId="8" fillId="0" borderId="0" pivotButton="0" quotePrefix="0" xfId="99"/>
    <xf numFmtId="0" fontId="8" fillId="77" borderId="79" pivotButton="0" quotePrefix="0" xfId="0"/>
    <xf numFmtId="174" fontId="8" fillId="77" borderId="79" pivotButton="0" quotePrefix="0" xfId="99"/>
    <xf numFmtId="0" fontId="8" fillId="0" borderId="79" pivotButton="0" quotePrefix="0" xfId="0"/>
    <xf numFmtId="0" fontId="8" fillId="77" borderId="80" pivotButton="0" quotePrefix="0" xfId="0"/>
    <xf numFmtId="174" fontId="8" fillId="77" borderId="80" pivotButton="0" quotePrefix="0" xfId="99"/>
    <xf numFmtId="14" fontId="0" fillId="0" borderId="0" pivotButton="0" quotePrefix="0" xfId="0"/>
    <xf numFmtId="0" fontId="0" fillId="0" borderId="0" applyAlignment="1" pivotButton="0" quotePrefix="0" xfId="0">
      <alignment horizontal="left"/>
    </xf>
    <xf numFmtId="0" fontId="36" fillId="9" borderId="0" pivotButton="0" quotePrefix="0" xfId="0"/>
    <xf numFmtId="14" fontId="36" fillId="9" borderId="0" pivotButton="0" quotePrefix="0" xfId="0"/>
    <xf numFmtId="167" fontId="8" fillId="77" borderId="80" pivotButton="0" quotePrefix="0" xfId="0"/>
    <xf numFmtId="174" fontId="36" fillId="9" borderId="0" pivotButton="0" quotePrefix="0" xfId="99"/>
    <xf numFmtId="0" fontId="114" fillId="0" borderId="0" pivotButton="0" quotePrefix="0" xfId="108"/>
    <xf numFmtId="0" fontId="0" fillId="9" borderId="0" pivotButton="0" quotePrefix="0" xfId="0"/>
    <xf numFmtId="167" fontId="0" fillId="9" borderId="0" pivotButton="0" quotePrefix="0" xfId="1"/>
    <xf numFmtId="0" fontId="114" fillId="9" borderId="0" pivotButton="0" quotePrefix="0" xfId="108"/>
    <xf numFmtId="0" fontId="115" fillId="9" borderId="0" pivotButton="0" quotePrefix="0" xfId="109"/>
    <xf numFmtId="177" fontId="0" fillId="74" borderId="0" pivotButton="0" quotePrefix="0" xfId="1"/>
    <xf numFmtId="164" fontId="0" fillId="9" borderId="1" pivotButton="0" quotePrefix="0" xfId="5"/>
    <xf numFmtId="0" fontId="0" fillId="76" borderId="0" pivotButton="0" quotePrefix="0" xfId="0"/>
    <xf numFmtId="167" fontId="0" fillId="9" borderId="0" pivotButton="0" quotePrefix="0" xfId="99"/>
    <xf numFmtId="3" fontId="46" fillId="0" borderId="0" pivotButton="0" quotePrefix="0" xfId="0"/>
    <xf numFmtId="167" fontId="0" fillId="42" borderId="0" pivotButton="0" quotePrefix="0" xfId="0"/>
    <xf numFmtId="165" fontId="0" fillId="42" borderId="0" pivotButton="0" quotePrefix="0" xfId="1"/>
    <xf numFmtId="0" fontId="7" fillId="56" borderId="1" applyAlignment="1" pivotButton="0" quotePrefix="0" xfId="0">
      <alignment horizontal="center" vertical="center" wrapText="1"/>
    </xf>
    <xf numFmtId="0" fontId="7" fillId="56" borderId="6" applyAlignment="1" pivotButton="0" quotePrefix="0" xfId="0">
      <alignment horizontal="center" vertical="center" wrapText="1"/>
    </xf>
    <xf numFmtId="169" fontId="61" fillId="9" borderId="1" applyAlignment="1" applyProtection="1" pivotButton="0" quotePrefix="0" xfId="99">
      <alignment horizontal="right" vertical="center"/>
      <protection locked="0" hidden="0"/>
    </xf>
    <xf numFmtId="0" fontId="3" fillId="0" borderId="32" pivotButton="0" quotePrefix="0" xfId="0"/>
    <xf numFmtId="0" fontId="3" fillId="0" borderId="13" pivotButton="0" quotePrefix="0" xfId="0"/>
    <xf numFmtId="0" fontId="3" fillId="0" borderId="14" pivotButton="0" quotePrefix="0" xfId="0"/>
    <xf numFmtId="0" fontId="3" fillId="0" borderId="0" pivotButton="0" quotePrefix="0" xfId="0"/>
    <xf numFmtId="0" fontId="3" fillId="0" borderId="31" pivotButton="0" quotePrefix="0" xfId="0"/>
    <xf numFmtId="0" fontId="8" fillId="42" borderId="0" applyAlignment="1" pivotButton="0" quotePrefix="0" xfId="0">
      <alignment horizontal="center" vertical="center"/>
    </xf>
    <xf numFmtId="0" fontId="3" fillId="42" borderId="0" pivotButton="0" quotePrefix="0" xfId="0"/>
    <xf numFmtId="0" fontId="7" fillId="56" borderId="85" applyAlignment="1" pivotButton="0" quotePrefix="0" xfId="0">
      <alignment horizontal="center" vertical="center" wrapText="1"/>
    </xf>
    <xf numFmtId="0" fontId="7" fillId="56" borderId="86" applyAlignment="1" pivotButton="0" quotePrefix="0" xfId="0">
      <alignment horizontal="center" vertical="center" wrapText="1"/>
    </xf>
    <xf numFmtId="0" fontId="7" fillId="56" borderId="8" applyAlignment="1" pivotButton="0" quotePrefix="0" xfId="0">
      <alignment horizontal="center" vertical="center" wrapText="1"/>
    </xf>
    <xf numFmtId="0" fontId="7" fillId="56" borderId="88" applyAlignment="1" pivotButton="0" quotePrefix="0" xfId="0">
      <alignment horizontal="center" vertical="center" wrapText="1"/>
    </xf>
    <xf numFmtId="0" fontId="7" fillId="56" borderId="89" applyAlignment="1" pivotButton="0" quotePrefix="0" xfId="0">
      <alignment horizontal="center" vertical="center" wrapText="1"/>
    </xf>
    <xf numFmtId="0" fontId="7" fillId="56" borderId="90" applyAlignment="1" pivotButton="0" quotePrefix="0" xfId="0">
      <alignment horizontal="center" vertical="center" wrapText="1"/>
    </xf>
    <xf numFmtId="0" fontId="7" fillId="56" borderId="91" applyAlignment="1" pivotButton="0" quotePrefix="0" xfId="0">
      <alignment horizontal="center" vertical="center" wrapText="1"/>
    </xf>
    <xf numFmtId="0" fontId="7" fillId="56" borderId="92" applyAlignment="1" pivotButton="0" quotePrefix="0" xfId="0">
      <alignment horizontal="center" vertical="center" wrapText="1"/>
    </xf>
    <xf numFmtId="0" fontId="3" fillId="42" borderId="1" applyAlignment="1" pivotButton="0" quotePrefix="0" xfId="0">
      <alignment horizontal="center" vertical="center"/>
    </xf>
    <xf numFmtId="0" fontId="3" fillId="42" borderId="84" pivotButton="0" quotePrefix="0" xfId="0"/>
    <xf numFmtId="169" fontId="3" fillId="42" borderId="81" applyAlignment="1" applyProtection="1" pivotButton="0" quotePrefix="0" xfId="0">
      <alignment horizontal="right" vertical="center" wrapText="1"/>
      <protection locked="0" hidden="0"/>
    </xf>
    <xf numFmtId="169" fontId="3" fillId="0" borderId="93" applyAlignment="1" applyProtection="1" pivotButton="0" quotePrefix="0" xfId="0">
      <alignment horizontal="right" vertical="center" wrapText="1"/>
      <protection locked="0" hidden="0"/>
    </xf>
    <xf numFmtId="169" fontId="3" fillId="58" borderId="94" applyAlignment="1" pivotButton="0" quotePrefix="0" xfId="0">
      <alignment horizontal="right" vertical="center" wrapText="1"/>
    </xf>
    <xf numFmtId="169" fontId="3" fillId="0" borderId="95" applyAlignment="1" applyProtection="1" pivotButton="0" quotePrefix="0" xfId="0">
      <alignment horizontal="right" vertical="center" wrapText="1"/>
      <protection locked="0" hidden="0"/>
    </xf>
    <xf numFmtId="169" fontId="3" fillId="58" borderId="96" applyAlignment="1" pivotButton="0" quotePrefix="0" xfId="0">
      <alignment horizontal="right" vertical="center" wrapText="1"/>
    </xf>
    <xf numFmtId="169" fontId="3" fillId="0" borderId="81" applyAlignment="1" applyProtection="1" pivotButton="0" quotePrefix="0" xfId="0">
      <alignment horizontal="right" vertical="center" wrapText="1"/>
      <protection locked="0" hidden="0"/>
    </xf>
    <xf numFmtId="0" fontId="3" fillId="42" borderId="97" pivotButton="0" quotePrefix="0" xfId="0"/>
    <xf numFmtId="169" fontId="3" fillId="42" borderId="85" applyAlignment="1" applyProtection="1" pivotButton="0" quotePrefix="0" xfId="0">
      <alignment horizontal="right" vertical="center" wrapText="1"/>
      <protection locked="0" hidden="0"/>
    </xf>
    <xf numFmtId="169" fontId="3" fillId="0" borderId="1" applyAlignment="1" applyProtection="1" pivotButton="0" quotePrefix="0" xfId="0">
      <alignment horizontal="right" vertical="center" wrapText="1"/>
      <protection locked="0" hidden="0"/>
    </xf>
    <xf numFmtId="169" fontId="3" fillId="58" borderId="86" applyAlignment="1" pivotButton="0" quotePrefix="0" xfId="0">
      <alignment horizontal="right" vertical="center" wrapText="1"/>
    </xf>
    <xf numFmtId="169" fontId="3" fillId="0" borderId="8" applyAlignment="1" applyProtection="1" pivotButton="0" quotePrefix="0" xfId="0">
      <alignment horizontal="right" vertical="center"/>
      <protection locked="0" hidden="0"/>
    </xf>
    <xf numFmtId="169" fontId="3" fillId="0" borderId="1" applyAlignment="1" applyProtection="1" pivotButton="0" quotePrefix="0" xfId="0">
      <alignment horizontal="right" vertical="center"/>
      <protection locked="0" hidden="0"/>
    </xf>
    <xf numFmtId="169" fontId="3" fillId="0" borderId="85" applyAlignment="1" applyProtection="1" pivotButton="0" quotePrefix="0" xfId="0">
      <alignment horizontal="right" vertical="center"/>
      <protection locked="0" hidden="0"/>
    </xf>
    <xf numFmtId="169" fontId="3" fillId="3" borderId="85" applyAlignment="1" pivotButton="0" quotePrefix="0" xfId="0">
      <alignment horizontal="right" vertical="center"/>
    </xf>
    <xf numFmtId="169" fontId="3" fillId="3" borderId="1" applyAlignment="1" pivotButton="0" quotePrefix="0" xfId="0">
      <alignment horizontal="right" vertical="center"/>
    </xf>
    <xf numFmtId="169" fontId="3" fillId="58" borderId="4" applyAlignment="1" pivotButton="0" quotePrefix="0" xfId="0">
      <alignment horizontal="right" vertical="center" wrapText="1"/>
    </xf>
    <xf numFmtId="0" fontId="3" fillId="42" borderId="97" applyAlignment="1" pivotButton="0" quotePrefix="0" xfId="0">
      <alignment vertical="center" wrapText="1"/>
    </xf>
    <xf numFmtId="169" fontId="3" fillId="3" borderId="98" applyAlignment="1" pivotButton="0" quotePrefix="0" xfId="0">
      <alignment horizontal="right" vertical="center"/>
    </xf>
    <xf numFmtId="169" fontId="3" fillId="3" borderId="99" applyAlignment="1" pivotButton="0" quotePrefix="0" xfId="0">
      <alignment horizontal="right" vertical="center"/>
    </xf>
    <xf numFmtId="169" fontId="3" fillId="0" borderId="99" applyAlignment="1" applyProtection="1" pivotButton="0" quotePrefix="0" xfId="0">
      <alignment horizontal="right" vertical="center"/>
      <protection locked="0" hidden="0"/>
    </xf>
    <xf numFmtId="0" fontId="8" fillId="0" borderId="100" applyAlignment="1" pivotButton="0" quotePrefix="0" xfId="0">
      <alignment horizontal="center" vertical="center"/>
    </xf>
    <xf numFmtId="169" fontId="8" fillId="58" borderId="91" applyAlignment="1" pivotButton="0" quotePrefix="0" xfId="0">
      <alignment horizontal="right" vertical="center"/>
    </xf>
    <xf numFmtId="169" fontId="8" fillId="58" borderId="89" applyAlignment="1" pivotButton="0" quotePrefix="0" xfId="0">
      <alignment horizontal="right" vertical="center"/>
    </xf>
    <xf numFmtId="169" fontId="8" fillId="58" borderId="90" applyAlignment="1" pivotButton="0" quotePrefix="0" xfId="0">
      <alignment horizontal="right" vertical="center"/>
    </xf>
    <xf numFmtId="165" fontId="46" fillId="0" borderId="0" pivotButton="0" quotePrefix="0" xfId="1"/>
    <xf numFmtId="167" fontId="116" fillId="0" borderId="0" pivotButton="0" quotePrefix="0" xfId="99"/>
    <xf numFmtId="0" fontId="116" fillId="0" borderId="0" pivotButton="0" quotePrefix="0" xfId="0"/>
    <xf numFmtId="167" fontId="87" fillId="0" borderId="0" pivotButton="0" quotePrefix="0" xfId="99"/>
    <xf numFmtId="0" fontId="87" fillId="0" borderId="0" pivotButton="0" quotePrefix="0" xfId="0"/>
    <xf numFmtId="4" fontId="116" fillId="0" borderId="0" pivotButton="0" quotePrefix="0" xfId="0"/>
    <xf numFmtId="175" fontId="103" fillId="0" borderId="0" pivotButton="0" quotePrefix="0" xfId="0"/>
    <xf numFmtId="167" fontId="116" fillId="0" borderId="0" pivotButton="0" quotePrefix="0" xfId="0"/>
    <xf numFmtId="0" fontId="117" fillId="0" borderId="0" applyAlignment="1" pivotButton="0" quotePrefix="0" xfId="0">
      <alignment horizontal="left"/>
    </xf>
    <xf numFmtId="178" fontId="116" fillId="0" borderId="0" pivotButton="0" quotePrefix="0" xfId="0"/>
    <xf numFmtId="167" fontId="0" fillId="0" borderId="0" pivotButton="0" quotePrefix="0" xfId="110"/>
    <xf numFmtId="167" fontId="109" fillId="0" borderId="0" applyAlignment="1" pivotButton="0" quotePrefix="0" xfId="110">
      <alignment horizontal="center"/>
    </xf>
    <xf numFmtId="167" fontId="109" fillId="0" borderId="0" pivotButton="0" quotePrefix="0" xfId="110"/>
    <xf numFmtId="167" fontId="0" fillId="0" borderId="0" pivotButton="0" quotePrefix="0" xfId="110"/>
    <xf numFmtId="167" fontId="110" fillId="0" borderId="0" pivotButton="0" quotePrefix="0" xfId="110"/>
    <xf numFmtId="167" fontId="8" fillId="0" borderId="0" applyAlignment="1" pivotButton="0" quotePrefix="0" xfId="110">
      <alignment horizontal="center"/>
    </xf>
    <xf numFmtId="167" fontId="8" fillId="0" borderId="0" pivotButton="0" quotePrefix="0" xfId="110"/>
    <xf numFmtId="167" fontId="0" fillId="0" borderId="0" applyAlignment="1" pivotButton="0" quotePrefix="0" xfId="110">
      <alignment horizontal="center"/>
    </xf>
    <xf numFmtId="167" fontId="8" fillId="0" borderId="0" pivotButton="0" quotePrefix="0" xfId="110"/>
    <xf numFmtId="167" fontId="109" fillId="0" borderId="0" pivotButton="0" quotePrefix="0" xfId="110"/>
    <xf numFmtId="167" fontId="3" fillId="0" borderId="0" applyAlignment="1" pivotButton="0" quotePrefix="0" xfId="110">
      <alignment horizontal="center"/>
    </xf>
    <xf numFmtId="174" fontId="0" fillId="0" borderId="0" pivotButton="0" quotePrefix="0" xfId="110"/>
    <xf numFmtId="166" fontId="87" fillId="74" borderId="1" pivotButton="0" quotePrefix="0" xfId="2"/>
    <xf numFmtId="166" fontId="87" fillId="48" borderId="1" pivotButton="0" quotePrefix="0" xfId="2"/>
    <xf numFmtId="0" fontId="87" fillId="0" borderId="1" pivotButton="0" quotePrefix="0" xfId="0"/>
    <xf numFmtId="166" fontId="87" fillId="75" borderId="1" pivotButton="0" quotePrefix="0" xfId="2"/>
    <xf numFmtId="166" fontId="0" fillId="75" borderId="1" pivotButton="0" quotePrefix="0" xfId="2"/>
    <xf numFmtId="166" fontId="87" fillId="67" borderId="1" pivotButton="0" quotePrefix="0" xfId="2"/>
    <xf numFmtId="166" fontId="0" fillId="67" borderId="1" pivotButton="0" quotePrefix="0" xfId="2"/>
    <xf numFmtId="166" fontId="87" fillId="10" borderId="1" pivotButton="0" quotePrefix="0" xfId="2"/>
    <xf numFmtId="164" fontId="0" fillId="10" borderId="1" pivotButton="0" quotePrefix="0" xfId="5"/>
    <xf numFmtId="0" fontId="110" fillId="0" borderId="0" pivotButton="0" quotePrefix="0" xfId="111"/>
    <xf numFmtId="167" fontId="0" fillId="0" borderId="0" pivotButton="0" quotePrefix="0" xfId="112"/>
    <xf numFmtId="0" fontId="110" fillId="43" borderId="0" pivotButton="0" quotePrefix="0" xfId="111"/>
    <xf numFmtId="167" fontId="0" fillId="43" borderId="0" pivotButton="0" quotePrefix="0" xfId="112"/>
    <xf numFmtId="166" fontId="0" fillId="74" borderId="1" pivotButton="0" quotePrefix="0" xfId="2"/>
    <xf numFmtId="166" fontId="87" fillId="59" borderId="1" pivotButton="0" quotePrefix="0" xfId="2"/>
    <xf numFmtId="166" fontId="0" fillId="59" borderId="1" pivotButton="0" quotePrefix="0" xfId="2"/>
    <xf numFmtId="166" fontId="87" fillId="46" borderId="1" pivotButton="0" quotePrefix="0" xfId="2"/>
    <xf numFmtId="166" fontId="0" fillId="46" borderId="1" pivotButton="0" quotePrefix="0" xfId="2"/>
    <xf numFmtId="166" fontId="87" fillId="78" borderId="1" pivotButton="0" quotePrefix="0" xfId="2"/>
    <xf numFmtId="166" fontId="0" fillId="78" borderId="1" pivotButton="0" quotePrefix="0" xfId="2"/>
    <xf numFmtId="166" fontId="87" fillId="58" borderId="1" pivotButton="0" quotePrefix="0" xfId="2"/>
    <xf numFmtId="166" fontId="0" fillId="58" borderId="1" pivotButton="0" quotePrefix="0" xfId="2"/>
    <xf numFmtId="166" fontId="87" fillId="43" borderId="1" pivotButton="0" quotePrefix="0" xfId="2"/>
    <xf numFmtId="166" fontId="0" fillId="43" borderId="1" pivotButton="0" quotePrefix="0" xfId="2"/>
    <xf numFmtId="166" fontId="87" fillId="8" borderId="1" pivotButton="0" quotePrefix="0" xfId="2"/>
    <xf numFmtId="166" fontId="0" fillId="8" borderId="1" pivotButton="0" quotePrefix="0" xfId="2"/>
    <xf numFmtId="0" fontId="85" fillId="71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center"/>
    </xf>
    <xf numFmtId="165" fontId="109" fillId="0" borderId="0" pivotButton="0" quotePrefix="0" xfId="1"/>
    <xf numFmtId="22" fontId="0" fillId="0" borderId="0" pivotButton="0" quotePrefix="0" xfId="0"/>
    <xf numFmtId="0" fontId="36" fillId="0" borderId="0" pivotButton="0" quotePrefix="0" xfId="0"/>
    <xf numFmtId="14" fontId="36" fillId="0" borderId="0" pivotButton="0" quotePrefix="0" xfId="0"/>
    <xf numFmtId="22" fontId="36" fillId="0" borderId="0" pivotButton="0" quotePrefix="0" xfId="0"/>
    <xf numFmtId="14" fontId="0" fillId="76" borderId="0" pivotButton="0" quotePrefix="0" xfId="0"/>
    <xf numFmtId="22" fontId="0" fillId="76" borderId="0" pivotButton="0" quotePrefix="0" xfId="0"/>
    <xf numFmtId="167" fontId="0" fillId="76" borderId="0" pivotButton="0" quotePrefix="0" xfId="99"/>
    <xf numFmtId="0" fontId="36" fillId="76" borderId="0" pivotButton="0" quotePrefix="0" xfId="0"/>
    <xf numFmtId="14" fontId="36" fillId="76" borderId="0" pivotButton="0" quotePrefix="0" xfId="0"/>
    <xf numFmtId="22" fontId="36" fillId="76" borderId="0" pivotButton="0" quotePrefix="0" xfId="0"/>
    <xf numFmtId="167" fontId="36" fillId="76" borderId="0" pivotButton="0" quotePrefix="0" xfId="99"/>
    <xf numFmtId="167" fontId="8" fillId="0" borderId="101" pivotButton="0" quotePrefix="0" xfId="99"/>
    <xf numFmtId="167" fontId="36" fillId="0" borderId="0" pivotButton="0" quotePrefix="0" xfId="0"/>
    <xf numFmtId="165" fontId="36" fillId="0" borderId="0" pivotButton="0" quotePrefix="0" xfId="1"/>
    <xf numFmtId="167" fontId="38" fillId="0" borderId="0" pivotButton="0" quotePrefix="0" xfId="0"/>
    <xf numFmtId="165" fontId="86" fillId="45" borderId="0" applyAlignment="1" pivotButton="0" quotePrefix="0" xfId="1">
      <alignment horizontal="center" vertical="center"/>
    </xf>
    <xf numFmtId="165" fontId="82" fillId="45" borderId="0" applyAlignment="1" pivotButton="0" quotePrefix="0" xfId="1">
      <alignment horizontal="center" vertical="center"/>
    </xf>
    <xf numFmtId="165" fontId="86" fillId="44" borderId="0" applyAlignment="1" pivotButton="0" quotePrefix="0" xfId="1">
      <alignment horizontal="center" vertical="center"/>
    </xf>
    <xf numFmtId="165" fontId="86" fillId="75" borderId="0" applyAlignment="1" pivotButton="0" quotePrefix="0" xfId="1">
      <alignment horizontal="center" vertical="center"/>
    </xf>
    <xf numFmtId="165" fontId="86" fillId="8" borderId="0" applyAlignment="1" pivotButton="0" quotePrefix="0" xfId="1">
      <alignment horizontal="center" vertical="center"/>
    </xf>
    <xf numFmtId="165" fontId="86" fillId="66" borderId="0" applyAlignment="1" pivotButton="0" quotePrefix="0" xfId="1">
      <alignment horizontal="center" vertical="center"/>
    </xf>
    <xf numFmtId="0" fontId="94" fillId="0" borderId="0" applyAlignment="1" pivotButton="0" quotePrefix="0" xfId="0">
      <alignment horizontal="center" vertical="center"/>
    </xf>
    <xf numFmtId="4" fontId="0" fillId="66" borderId="0" applyAlignment="1" pivotButton="0" quotePrefix="0" xfId="0">
      <alignment horizontal="right" vertical="center"/>
    </xf>
    <xf numFmtId="165" fontId="8" fillId="7" borderId="10" pivotButton="0" quotePrefix="0" xfId="1"/>
    <xf numFmtId="166" fontId="87" fillId="79" borderId="1" pivotButton="0" quotePrefix="0" xfId="2"/>
    <xf numFmtId="165" fontId="8" fillId="0" borderId="0" pivotButton="0" quotePrefix="0" xfId="1"/>
    <xf numFmtId="167" fontId="109" fillId="0" borderId="0" pivotButton="0" quotePrefix="0" xfId="112"/>
    <xf numFmtId="166" fontId="87" fillId="9" borderId="1" pivotButton="0" quotePrefix="0" xfId="2"/>
    <xf numFmtId="177" fontId="87" fillId="42" borderId="0" pivotButton="0" quotePrefix="0" xfId="1"/>
    <xf numFmtId="165" fontId="0" fillId="42" borderId="0" pivotButton="0" quotePrefix="0" xfId="0"/>
    <xf numFmtId="167" fontId="0" fillId="75" borderId="0" pivotButton="0" quotePrefix="0" xfId="99"/>
    <xf numFmtId="167" fontId="36" fillId="75" borderId="0" pivotButton="0" quotePrefix="0" xfId="99"/>
    <xf numFmtId="174" fontId="0" fillId="42" borderId="0" pivotButton="0" quotePrefix="0" xfId="0"/>
    <xf numFmtId="0" fontId="84" fillId="0" borderId="0" applyAlignment="1" pivotButton="0" quotePrefix="0" xfId="0">
      <alignment vertical="center"/>
    </xf>
    <xf numFmtId="165" fontId="86" fillId="0" borderId="0" applyAlignment="1" pivotButton="0" quotePrefix="0" xfId="1">
      <alignment horizontal="center" vertical="center"/>
    </xf>
    <xf numFmtId="165" fontId="86" fillId="80" borderId="0" applyAlignment="1" pivotButton="0" quotePrefix="0" xfId="1">
      <alignment horizontal="center" vertical="center"/>
    </xf>
    <xf numFmtId="165" fontId="84" fillId="0" borderId="0" applyAlignment="1" pivotButton="0" quotePrefix="0" xfId="1">
      <alignment vertical="center"/>
    </xf>
    <xf numFmtId="165" fontId="39" fillId="51" borderId="0" applyAlignment="1" pivotButton="0" quotePrefix="0" xfId="1">
      <alignment vertical="center"/>
    </xf>
    <xf numFmtId="165" fontId="28" fillId="0" borderId="0" pivotButton="0" quotePrefix="0" xfId="1"/>
    <xf numFmtId="165" fontId="46" fillId="0" borderId="0" pivotButton="0" quotePrefix="0" xfId="0"/>
    <xf numFmtId="0" fontId="9" fillId="53" borderId="42" applyAlignment="1" pivotButton="0" quotePrefix="0" xfId="98">
      <alignment horizontal="center"/>
    </xf>
    <xf numFmtId="0" fontId="9" fillId="53" borderId="43" applyAlignment="1" pivotButton="0" quotePrefix="0" xfId="98">
      <alignment horizontal="center"/>
    </xf>
    <xf numFmtId="0" fontId="9" fillId="53" borderId="46" applyAlignment="1" pivotButton="0" quotePrefix="0" xfId="98">
      <alignment horizontal="center"/>
    </xf>
    <xf numFmtId="0" fontId="9" fillId="53" borderId="0" applyAlignment="1" pivotButton="0" quotePrefix="0" xfId="98">
      <alignment horizontal="center"/>
    </xf>
    <xf numFmtId="0" fontId="9" fillId="53" borderId="48" applyAlignment="1" pivotButton="0" quotePrefix="0" xfId="98">
      <alignment horizontal="center"/>
    </xf>
    <xf numFmtId="0" fontId="9" fillId="53" borderId="49" applyAlignment="1" pivotButton="0" quotePrefix="0" xfId="98">
      <alignment horizontal="center"/>
    </xf>
    <xf numFmtId="0" fontId="41" fillId="53" borderId="42" applyAlignment="1" pivotButton="0" quotePrefix="0" xfId="98">
      <alignment horizontal="center" vertical="center" wrapText="1"/>
    </xf>
    <xf numFmtId="0" fontId="42" fillId="0" borderId="43" pivotButton="0" quotePrefix="0" xfId="98"/>
    <xf numFmtId="0" fontId="42" fillId="0" borderId="44" pivotButton="0" quotePrefix="0" xfId="98"/>
    <xf numFmtId="0" fontId="42" fillId="0" borderId="46" pivotButton="0" quotePrefix="0" xfId="98"/>
    <xf numFmtId="0" fontId="42" fillId="0" borderId="0" pivotButton="0" quotePrefix="0" xfId="98"/>
    <xf numFmtId="0" fontId="42" fillId="0" borderId="47" pivotButton="0" quotePrefix="0" xfId="98"/>
    <xf numFmtId="0" fontId="42" fillId="0" borderId="48" pivotButton="0" quotePrefix="0" xfId="98"/>
    <xf numFmtId="0" fontId="42" fillId="0" borderId="49" pivotButton="0" quotePrefix="0" xfId="98"/>
    <xf numFmtId="0" fontId="42" fillId="0" borderId="50" pivotButton="0" quotePrefix="0" xfId="98"/>
    <xf numFmtId="0" fontId="43" fillId="54" borderId="45" applyAlignment="1" pivotButton="0" quotePrefix="0" xfId="98">
      <alignment horizontal="center" vertical="center" wrapText="1"/>
    </xf>
    <xf numFmtId="0" fontId="44" fillId="54" borderId="45" applyAlignment="1" pivotButton="0" quotePrefix="0" xfId="98">
      <alignment horizontal="center" vertical="center" wrapText="1"/>
    </xf>
    <xf numFmtId="0" fontId="45" fillId="55" borderId="42" applyAlignment="1" pivotButton="0" quotePrefix="0" xfId="98">
      <alignment horizontal="center" vertical="center"/>
    </xf>
    <xf numFmtId="49" fontId="45" fillId="55" borderId="43" applyAlignment="1" pivotButton="0" quotePrefix="0" xfId="98">
      <alignment horizontal="center" vertical="center"/>
    </xf>
    <xf numFmtId="49" fontId="45" fillId="55" borderId="44" applyAlignment="1" pivotButton="0" quotePrefix="0" xfId="98">
      <alignment horizontal="center" vertical="center"/>
    </xf>
    <xf numFmtId="49" fontId="45" fillId="55" borderId="46" applyAlignment="1" pivotButton="0" quotePrefix="0" xfId="98">
      <alignment horizontal="center" vertical="center"/>
    </xf>
    <xf numFmtId="49" fontId="45" fillId="55" borderId="0" applyAlignment="1" pivotButton="0" quotePrefix="0" xfId="98">
      <alignment horizontal="center" vertical="center"/>
    </xf>
    <xf numFmtId="49" fontId="45" fillId="55" borderId="47" applyAlignment="1" pivotButton="0" quotePrefix="0" xfId="98">
      <alignment horizontal="center" vertical="center"/>
    </xf>
    <xf numFmtId="49" fontId="45" fillId="55" borderId="48" applyAlignment="1" pivotButton="0" quotePrefix="0" xfId="98">
      <alignment horizontal="center" vertical="center"/>
    </xf>
    <xf numFmtId="49" fontId="45" fillId="55" borderId="49" applyAlignment="1" pivotButton="0" quotePrefix="0" xfId="98">
      <alignment horizontal="center" vertical="center"/>
    </xf>
    <xf numFmtId="49" fontId="45" fillId="55" borderId="50" applyAlignment="1" pivotButton="0" quotePrefix="0" xfId="98">
      <alignment horizontal="center" vertical="center"/>
    </xf>
    <xf numFmtId="0" fontId="9" fillId="42" borderId="51" applyAlignment="1" pivotButton="0" quotePrefix="0" xfId="98">
      <alignment horizontal="center"/>
    </xf>
    <xf numFmtId="0" fontId="9" fillId="42" borderId="0" applyAlignment="1" pivotButton="0" quotePrefix="0" xfId="98">
      <alignment horizontal="center"/>
    </xf>
    <xf numFmtId="0" fontId="9" fillId="42" borderId="0" applyAlignment="1" pivotButton="0" quotePrefix="0" xfId="98">
      <alignment horizontal="left"/>
    </xf>
    <xf numFmtId="0" fontId="47" fillId="42" borderId="6" applyAlignment="1" pivotButton="0" quotePrefix="0" xfId="98">
      <alignment horizontal="center" vertical="center"/>
    </xf>
    <xf numFmtId="0" fontId="47" fillId="42" borderId="7" applyAlignment="1" pivotButton="0" quotePrefix="0" xfId="98">
      <alignment horizontal="center" vertical="center"/>
    </xf>
    <xf numFmtId="0" fontId="47" fillId="42" borderId="8" applyAlignment="1" pivotButton="0" quotePrefix="0" xfId="98">
      <alignment horizontal="center" vertical="center"/>
    </xf>
    <xf numFmtId="0" fontId="9" fillId="53" borderId="17" applyAlignment="1" pivotButton="0" quotePrefix="0" xfId="98">
      <alignment horizontal="left"/>
    </xf>
    <xf numFmtId="0" fontId="9" fillId="0" borderId="0" pivotButton="0" quotePrefix="0" xfId="98"/>
    <xf numFmtId="1" fontId="47" fillId="53" borderId="0" applyAlignment="1" pivotButton="0" quotePrefix="0" xfId="98">
      <alignment horizontal="left" vertical="center"/>
    </xf>
    <xf numFmtId="1" fontId="9" fillId="0" borderId="0" applyAlignment="1" pivotButton="0" quotePrefix="0" xfId="98">
      <alignment horizontal="left"/>
    </xf>
    <xf numFmtId="0" fontId="9" fillId="53" borderId="19" applyAlignment="1" pivotButton="0" quotePrefix="0" xfId="98">
      <alignment horizontal="center"/>
    </xf>
    <xf numFmtId="0" fontId="9" fillId="42" borderId="1" applyAlignment="1" applyProtection="1" pivotButton="0" quotePrefix="0" xfId="98">
      <alignment horizontal="center" vertical="center"/>
      <protection locked="0" hidden="0"/>
    </xf>
    <xf numFmtId="0" fontId="9" fillId="42" borderId="1" applyAlignment="1" pivotButton="0" quotePrefix="0" xfId="98">
      <alignment horizontal="right" vertical="center"/>
    </xf>
    <xf numFmtId="0" fontId="48" fillId="53" borderId="52" applyAlignment="1" pivotButton="0" quotePrefix="0" xfId="98">
      <alignment horizontal="left" vertical="center"/>
    </xf>
    <xf numFmtId="0" fontId="48" fillId="53" borderId="53" applyAlignment="1" pivotButton="0" quotePrefix="0" xfId="98">
      <alignment horizontal="left" vertical="center"/>
    </xf>
    <xf numFmtId="0" fontId="48" fillId="53" borderId="54" applyAlignment="1" pivotButton="0" quotePrefix="0" xfId="98">
      <alignment horizontal="left" vertical="center"/>
    </xf>
    <xf numFmtId="0" fontId="48" fillId="53" borderId="55" applyAlignment="1" pivotButton="0" quotePrefix="0" xfId="98">
      <alignment horizontal="left" vertical="center"/>
    </xf>
    <xf numFmtId="0" fontId="48" fillId="53" borderId="56" applyAlignment="1" pivotButton="0" quotePrefix="0" xfId="98">
      <alignment horizontal="left" vertical="center"/>
    </xf>
    <xf numFmtId="0" fontId="48" fillId="53" borderId="57" applyAlignment="1" pivotButton="0" quotePrefix="0" xfId="98">
      <alignment horizontal="left" vertical="center"/>
    </xf>
    <xf numFmtId="0" fontId="48" fillId="53" borderId="0" applyAlignment="1" pivotButton="0" quotePrefix="0" xfId="98">
      <alignment horizontal="center" vertical="center"/>
    </xf>
    <xf numFmtId="0" fontId="49" fillId="0" borderId="58" applyAlignment="1" pivotButton="0" quotePrefix="0" xfId="98">
      <alignment horizontal="center" vertical="center" wrapText="1"/>
    </xf>
    <xf numFmtId="0" fontId="49" fillId="0" borderId="59" applyAlignment="1" pivotButton="0" quotePrefix="0" xfId="98">
      <alignment horizontal="center" vertical="center" wrapText="1"/>
    </xf>
    <xf numFmtId="0" fontId="49" fillId="0" borderId="60" applyAlignment="1" pivotButton="0" quotePrefix="0" xfId="98">
      <alignment horizontal="center" vertical="center" wrapText="1"/>
    </xf>
    <xf numFmtId="0" fontId="49" fillId="0" borderId="61" applyAlignment="1" pivotButton="0" quotePrefix="0" xfId="98">
      <alignment horizontal="center" vertical="center" wrapText="1"/>
    </xf>
    <xf numFmtId="0" fontId="49" fillId="0" borderId="62" applyAlignment="1" pivotButton="0" quotePrefix="0" xfId="98">
      <alignment horizontal="center" vertical="center" wrapText="1"/>
    </xf>
    <xf numFmtId="0" fontId="49" fillId="0" borderId="63" applyAlignment="1" pivotButton="0" quotePrefix="0" xfId="98">
      <alignment horizontal="center" vertical="center" wrapText="1"/>
    </xf>
    <xf numFmtId="0" fontId="49" fillId="0" borderId="64" applyAlignment="1" pivotButton="0" quotePrefix="0" xfId="98">
      <alignment horizontal="center" vertical="center" wrapText="1"/>
    </xf>
    <xf numFmtId="0" fontId="49" fillId="0" borderId="65" applyAlignment="1" pivotButton="0" quotePrefix="0" xfId="98">
      <alignment horizontal="center" vertical="center" wrapText="1"/>
    </xf>
    <xf numFmtId="0" fontId="49" fillId="0" borderId="66" applyAlignment="1" pivotButton="0" quotePrefix="0" xfId="98">
      <alignment horizontal="center" vertical="center" wrapText="1"/>
    </xf>
    <xf numFmtId="0" fontId="50" fillId="42" borderId="17" applyAlignment="1" pivotButton="0" quotePrefix="0" xfId="98">
      <alignment horizontal="right" wrapText="1"/>
    </xf>
    <xf numFmtId="0" fontId="50" fillId="42" borderId="0" applyAlignment="1" pivotButton="0" quotePrefix="0" xfId="98">
      <alignment horizontal="right" wrapText="1"/>
    </xf>
    <xf numFmtId="0" fontId="50" fillId="42" borderId="4" applyAlignment="1" pivotButton="0" quotePrefix="0" xfId="98">
      <alignment horizontal="right" wrapText="1"/>
    </xf>
    <xf numFmtId="0" fontId="50" fillId="42" borderId="5" applyAlignment="1" pivotButton="0" quotePrefix="0" xfId="98">
      <alignment horizontal="right" wrapText="1"/>
    </xf>
    <xf numFmtId="0" fontId="50" fillId="42" borderId="0" applyAlignment="1" pivotButton="0" quotePrefix="0" xfId="98">
      <alignment horizontal="center"/>
    </xf>
    <xf numFmtId="0" fontId="50" fillId="42" borderId="5" applyAlignment="1" pivotButton="0" quotePrefix="0" xfId="98">
      <alignment horizontal="center"/>
    </xf>
    <xf numFmtId="0" fontId="47" fillId="42" borderId="69" applyAlignment="1" applyProtection="1" pivotButton="0" quotePrefix="0" xfId="98">
      <alignment horizontal="left" vertical="center"/>
      <protection locked="0" hidden="0"/>
    </xf>
    <xf numFmtId="0" fontId="9" fillId="42" borderId="69" applyAlignment="1" applyProtection="1" pivotButton="0" quotePrefix="0" xfId="98">
      <alignment horizontal="left" vertical="center"/>
      <protection locked="0" hidden="0"/>
    </xf>
    <xf numFmtId="3" fontId="47" fillId="42" borderId="50" applyAlignment="1" applyProtection="1" pivotButton="0" quotePrefix="0" xfId="98">
      <alignment horizontal="center"/>
      <protection locked="0" hidden="0"/>
    </xf>
    <xf numFmtId="3" fontId="47" fillId="42" borderId="69" applyAlignment="1" applyProtection="1" pivotButton="0" quotePrefix="0" xfId="98">
      <alignment horizontal="center"/>
      <protection locked="0" hidden="0"/>
    </xf>
    <xf numFmtId="0" fontId="9" fillId="42" borderId="1" applyAlignment="1" pivotButton="0" quotePrefix="0" xfId="98">
      <alignment horizontal="center" vertical="center" wrapText="1"/>
    </xf>
    <xf numFmtId="0" fontId="47" fillId="42" borderId="1" applyAlignment="1" pivotButton="0" quotePrefix="0" xfId="98">
      <alignment horizontal="left" vertical="center" wrapText="1"/>
    </xf>
    <xf numFmtId="3" fontId="9" fillId="67" borderId="1" applyAlignment="1" pivotButton="0" quotePrefix="0" xfId="98">
      <alignment horizontal="right" vertical="center" wrapText="1"/>
    </xf>
    <xf numFmtId="0" fontId="9" fillId="67" borderId="1" applyAlignment="1" pivotButton="0" quotePrefix="0" xfId="98">
      <alignment horizontal="right" vertical="center" wrapText="1"/>
    </xf>
    <xf numFmtId="0" fontId="9" fillId="42" borderId="1" applyAlignment="1" pivotButton="0" quotePrefix="0" xfId="98">
      <alignment horizontal="left" vertical="center" wrapText="1"/>
    </xf>
    <xf numFmtId="0" fontId="47" fillId="42" borderId="67" applyAlignment="1" pivotButton="0" quotePrefix="0" xfId="98">
      <alignment horizontal="center" vertical="center" textRotation="90" wrapText="1"/>
    </xf>
    <xf numFmtId="0" fontId="47" fillId="42" borderId="68" applyAlignment="1" pivotButton="0" quotePrefix="0" xfId="98">
      <alignment horizontal="center" vertical="center" textRotation="90" wrapText="1"/>
    </xf>
    <xf numFmtId="0" fontId="47" fillId="42" borderId="71" pivotButton="0" quotePrefix="0" xfId="98"/>
    <xf numFmtId="0" fontId="9" fillId="42" borderId="18" applyAlignment="1" pivotButton="0" quotePrefix="0" xfId="98">
      <alignment horizontal="left" vertical="top"/>
    </xf>
    <xf numFmtId="0" fontId="9" fillId="42" borderId="2" applyAlignment="1" pivotButton="0" quotePrefix="0" xfId="98">
      <alignment horizontal="left" vertical="top"/>
    </xf>
    <xf numFmtId="0" fontId="9" fillId="42" borderId="21" applyAlignment="1" pivotButton="0" quotePrefix="0" xfId="98">
      <alignment horizontal="left" vertical="top"/>
    </xf>
    <xf numFmtId="0" fontId="9" fillId="42" borderId="44" applyAlignment="1" pivotButton="0" quotePrefix="0" xfId="98">
      <alignment horizontal="left" vertical="top"/>
    </xf>
    <xf numFmtId="0" fontId="9" fillId="42" borderId="70" pivotButton="0" quotePrefix="0" xfId="98"/>
    <xf numFmtId="0" fontId="9" fillId="42" borderId="70" applyAlignment="1" pivotButton="0" quotePrefix="0" xfId="98">
      <alignment vertical="center" wrapText="1"/>
    </xf>
    <xf numFmtId="0" fontId="47" fillId="42" borderId="1" applyAlignment="1" applyProtection="1" pivotButton="0" quotePrefix="0" xfId="98">
      <alignment horizontal="left" vertical="center"/>
      <protection locked="0" hidden="0"/>
    </xf>
    <xf numFmtId="0" fontId="9" fillId="42" borderId="1" applyProtection="1" pivotButton="0" quotePrefix="0" xfId="98">
      <protection locked="0" hidden="0"/>
    </xf>
    <xf numFmtId="49" fontId="47" fillId="42" borderId="1" applyAlignment="1" applyProtection="1" pivotButton="0" quotePrefix="0" xfId="98">
      <alignment horizontal="center" vertical="center"/>
      <protection locked="0" hidden="0"/>
    </xf>
    <xf numFmtId="0" fontId="9" fillId="42" borderId="1" applyAlignment="1" pivotButton="0" quotePrefix="0" xfId="98">
      <alignment vertical="center"/>
    </xf>
    <xf numFmtId="0" fontId="9" fillId="42" borderId="1" pivotButton="0" quotePrefix="0" xfId="98"/>
    <xf numFmtId="0" fontId="9" fillId="42" borderId="1" applyAlignment="1" applyProtection="1" pivotButton="0" quotePrefix="0" xfId="98">
      <alignment horizontal="center"/>
      <protection locked="0" hidden="0"/>
    </xf>
    <xf numFmtId="0" fontId="9" fillId="42" borderId="1" applyAlignment="1" pivotButton="0" quotePrefix="0" xfId="98">
      <alignment horizontal="center" vertical="center"/>
    </xf>
    <xf numFmtId="0" fontId="47" fillId="0" borderId="2" applyAlignment="1" pivotButton="0" quotePrefix="0" xfId="98">
      <alignment horizontal="center" vertical="center" textRotation="90"/>
    </xf>
    <xf numFmtId="0" fontId="47" fillId="0" borderId="10" applyAlignment="1" pivotButton="0" quotePrefix="0" xfId="98">
      <alignment horizontal="center" vertical="center" textRotation="90"/>
    </xf>
    <xf numFmtId="0" fontId="47" fillId="0" borderId="3" applyAlignment="1" pivotButton="0" quotePrefix="0" xfId="98">
      <alignment horizontal="center" vertical="center" textRotation="90"/>
    </xf>
    <xf numFmtId="0" fontId="9" fillId="54" borderId="2" applyAlignment="1" pivotButton="0" quotePrefix="0" xfId="98">
      <alignment horizontal="left" vertical="center" wrapText="1"/>
    </xf>
    <xf numFmtId="3" fontId="9" fillId="54" borderId="2" applyAlignment="1" applyProtection="1" pivotButton="0" quotePrefix="0" xfId="98">
      <alignment horizontal="right" vertical="center"/>
      <protection locked="1" hidden="1"/>
    </xf>
    <xf numFmtId="0" fontId="47" fillId="0" borderId="2" applyAlignment="1" pivotButton="0" quotePrefix="0" xfId="98">
      <alignment horizontal="center" vertical="center" textRotation="90" wrapText="1"/>
    </xf>
    <xf numFmtId="0" fontId="46" fillId="0" borderId="10" applyAlignment="1" pivotButton="0" quotePrefix="0" xfId="0">
      <alignment wrapText="1"/>
    </xf>
    <xf numFmtId="0" fontId="46" fillId="0" borderId="3" applyAlignment="1" pivotButton="0" quotePrefix="0" xfId="0">
      <alignment wrapText="1"/>
    </xf>
    <xf numFmtId="0" fontId="9" fillId="54" borderId="2" applyAlignment="1" pivotButton="0" quotePrefix="0" xfId="98">
      <alignment vertical="center"/>
    </xf>
    <xf numFmtId="0" fontId="9" fillId="0" borderId="10" applyAlignment="1" pivotButton="0" quotePrefix="0" xfId="98">
      <alignment horizontal="left" vertical="center" wrapText="1"/>
    </xf>
    <xf numFmtId="3" fontId="9" fillId="0" borderId="10" applyAlignment="1" applyProtection="1" pivotButton="0" quotePrefix="0" xfId="98">
      <alignment horizontal="right" vertical="center"/>
      <protection locked="1" hidden="1"/>
    </xf>
    <xf numFmtId="0" fontId="9" fillId="54" borderId="10" applyAlignment="1" pivotButton="0" quotePrefix="0" xfId="98">
      <alignment horizontal="left" vertical="center" wrapText="1"/>
    </xf>
    <xf numFmtId="3" fontId="9" fillId="54" borderId="10" applyAlignment="1" applyProtection="1" pivotButton="0" quotePrefix="0" xfId="98">
      <alignment horizontal="right" vertical="center"/>
      <protection locked="1" hidden="1"/>
    </xf>
    <xf numFmtId="0" fontId="47" fillId="0" borderId="10" applyAlignment="1" pivotButton="0" quotePrefix="0" xfId="98">
      <alignment horizontal="left" vertical="center" wrapText="1"/>
    </xf>
    <xf numFmtId="0" fontId="9" fillId="0" borderId="10" applyAlignment="1" pivotButton="0" quotePrefix="0" xfId="98">
      <alignment vertical="center" wrapText="1"/>
    </xf>
    <xf numFmtId="0" fontId="47" fillId="54" borderId="10" applyAlignment="1" pivotButton="0" quotePrefix="0" xfId="98">
      <alignment horizontal="left" vertical="center" wrapText="1"/>
    </xf>
    <xf numFmtId="3" fontId="47" fillId="54" borderId="10" applyAlignment="1" applyProtection="1" pivotButton="0" quotePrefix="0" xfId="98">
      <alignment horizontal="right" vertical="center"/>
      <protection locked="1" hidden="1"/>
    </xf>
    <xf numFmtId="0" fontId="9" fillId="54" borderId="10" applyAlignment="1" pivotButton="0" quotePrefix="0" xfId="98">
      <alignment vertical="center" wrapText="1"/>
    </xf>
    <xf numFmtId="0" fontId="52" fillId="0" borderId="10" applyAlignment="1" pivotButton="0" quotePrefix="0" xfId="98">
      <alignment horizontal="left" vertical="center" wrapText="1"/>
    </xf>
    <xf numFmtId="3" fontId="47" fillId="0" borderId="10" applyAlignment="1" applyProtection="1" pivotButton="0" quotePrefix="0" xfId="98">
      <alignment horizontal="right" vertical="center"/>
      <protection locked="1" hidden="1"/>
    </xf>
    <xf numFmtId="0" fontId="47" fillId="0" borderId="10" applyAlignment="1" pivotButton="0" quotePrefix="0" xfId="98">
      <alignment horizontal="center" vertical="center" textRotation="90" wrapText="1"/>
    </xf>
    <xf numFmtId="0" fontId="46" fillId="0" borderId="10" applyAlignment="1" pivotButton="0" quotePrefix="0" xfId="0">
      <alignment horizontal="center" vertical="center" textRotation="90" wrapText="1"/>
    </xf>
    <xf numFmtId="0" fontId="47" fillId="0" borderId="10" applyAlignment="1" pivotButton="0" quotePrefix="0" xfId="98">
      <alignment vertical="center"/>
    </xf>
    <xf numFmtId="0" fontId="46" fillId="54" borderId="3" applyAlignment="1" pivotButton="0" quotePrefix="0" xfId="98">
      <alignment horizontal="left" vertical="center" wrapText="1"/>
    </xf>
    <xf numFmtId="0" fontId="9" fillId="54" borderId="3" applyAlignment="1" pivotButton="0" quotePrefix="0" xfId="98">
      <alignment horizontal="left" vertical="center" wrapText="1"/>
    </xf>
    <xf numFmtId="3" fontId="47" fillId="54" borderId="3" applyAlignment="1" applyProtection="1" pivotButton="0" quotePrefix="0" xfId="98">
      <alignment horizontal="right" vertical="center"/>
      <protection locked="1" hidden="1"/>
    </xf>
    <xf numFmtId="0" fontId="9" fillId="0" borderId="2" applyAlignment="1" pivotButton="0" quotePrefix="0" xfId="98">
      <alignment horizontal="center" vertical="center" textRotation="90" wrapText="1"/>
    </xf>
    <xf numFmtId="0" fontId="9" fillId="0" borderId="10" applyAlignment="1" pivotButton="0" quotePrefix="0" xfId="98">
      <alignment horizontal="center" vertical="center" textRotation="90" wrapText="1"/>
    </xf>
    <xf numFmtId="0" fontId="9" fillId="0" borderId="3" applyAlignment="1" pivotButton="0" quotePrefix="0" xfId="98">
      <alignment horizontal="center" vertical="center" textRotation="90" wrapText="1"/>
    </xf>
    <xf numFmtId="3" fontId="47" fillId="54" borderId="2" applyAlignment="1" applyProtection="1" pivotButton="0" quotePrefix="0" xfId="98">
      <alignment horizontal="right" vertical="center"/>
      <protection locked="1" hidden="1"/>
    </xf>
    <xf numFmtId="0" fontId="9" fillId="0" borderId="3" applyAlignment="1" pivotButton="0" quotePrefix="0" xfId="98">
      <alignment horizontal="left" vertical="center" wrapText="1"/>
    </xf>
    <xf numFmtId="3" fontId="9" fillId="0" borderId="3" applyAlignment="1" applyProtection="1" pivotButton="0" quotePrefix="0" xfId="98">
      <alignment horizontal="right" vertical="center"/>
      <protection locked="1" hidden="1"/>
    </xf>
    <xf numFmtId="0" fontId="27" fillId="54" borderId="10" applyAlignment="1" pivotButton="0" quotePrefix="0" xfId="98">
      <alignment horizontal="left" vertical="center" wrapText="1"/>
    </xf>
    <xf numFmtId="0" fontId="53" fillId="54" borderId="10" applyAlignment="1" pivotButton="0" quotePrefix="0" xfId="98">
      <alignment horizontal="left" vertical="center" wrapText="1"/>
    </xf>
    <xf numFmtId="0" fontId="46" fillId="54" borderId="10" applyAlignment="1" pivotButton="0" quotePrefix="0" xfId="98">
      <alignment horizontal="left" vertical="center" wrapText="1"/>
    </xf>
    <xf numFmtId="3" fontId="9" fillId="0" borderId="10" applyAlignment="1" applyProtection="1" pivotButton="0" quotePrefix="0" xfId="98">
      <alignment horizontal="left" vertical="center"/>
      <protection locked="0" hidden="0"/>
    </xf>
    <xf numFmtId="0" fontId="46" fillId="0" borderId="10" applyAlignment="1" pivotButton="0" quotePrefix="0" xfId="0">
      <alignment horizontal="center" vertical="center" textRotation="90"/>
    </xf>
    <xf numFmtId="0" fontId="46" fillId="0" borderId="3" applyAlignment="1" pivotButton="0" quotePrefix="0" xfId="0">
      <alignment horizontal="center" vertical="center" textRotation="90"/>
    </xf>
    <xf numFmtId="0" fontId="9" fillId="0" borderId="2" applyAlignment="1" pivotButton="0" quotePrefix="0" xfId="98">
      <alignment horizontal="left" vertical="center" wrapText="1"/>
    </xf>
    <xf numFmtId="3" fontId="9" fillId="0" borderId="2" applyAlignment="1" applyProtection="1" pivotButton="0" quotePrefix="0" xfId="98">
      <alignment horizontal="right" vertical="center"/>
      <protection locked="1" hidden="1"/>
    </xf>
    <xf numFmtId="0" fontId="54" fillId="0" borderId="10" applyAlignment="1" pivotButton="0" quotePrefix="0" xfId="98">
      <alignment horizontal="left" vertical="center" wrapText="1"/>
    </xf>
    <xf numFmtId="3" fontId="54" fillId="54" borderId="10" applyAlignment="1" applyProtection="1" pivotButton="0" quotePrefix="0" xfId="98">
      <alignment horizontal="right" vertical="center"/>
      <protection locked="1" hidden="1"/>
    </xf>
    <xf numFmtId="0" fontId="54" fillId="54" borderId="10" applyAlignment="1" pivotButton="0" quotePrefix="0" xfId="98">
      <alignment horizontal="left" vertical="center" wrapText="1"/>
    </xf>
    <xf numFmtId="3" fontId="9" fillId="0" borderId="10" applyAlignment="1" applyProtection="1" pivotButton="0" quotePrefix="1" xfId="98">
      <alignment horizontal="right" vertical="center"/>
      <protection locked="1" hidden="1"/>
    </xf>
    <xf numFmtId="0" fontId="9" fillId="0" borderId="10" applyAlignment="1" pivotButton="0" quotePrefix="0" xfId="98">
      <alignment horizontal="left" vertical="center"/>
    </xf>
    <xf numFmtId="0" fontId="47" fillId="0" borderId="3" applyAlignment="1" pivotButton="0" quotePrefix="0" xfId="98">
      <alignment horizontal="left" vertical="center" wrapText="1"/>
    </xf>
    <xf numFmtId="3" fontId="47" fillId="0" borderId="3" applyAlignment="1" applyProtection="1" pivotButton="0" quotePrefix="0" xfId="98">
      <alignment horizontal="right" vertical="center"/>
      <protection locked="1" hidden="1"/>
    </xf>
    <xf numFmtId="0" fontId="47" fillId="0" borderId="3" applyAlignment="1" pivotButton="0" quotePrefix="0" xfId="98">
      <alignment horizontal="center" vertical="center" textRotation="90" wrapText="1"/>
    </xf>
    <xf numFmtId="0" fontId="9" fillId="54" borderId="2" applyAlignment="1" pivotButton="0" quotePrefix="0" xfId="98">
      <alignment horizontal="left" vertical="center"/>
    </xf>
    <xf numFmtId="0" fontId="53" fillId="0" borderId="10" applyAlignment="1" pivotButton="0" quotePrefix="0" xfId="98">
      <alignment horizontal="left" vertical="center" wrapText="1"/>
    </xf>
    <xf numFmtId="0" fontId="9" fillId="54" borderId="10" applyAlignment="1" pivotButton="0" quotePrefix="0" xfId="98">
      <alignment horizontal="left" vertical="center"/>
    </xf>
    <xf numFmtId="3" fontId="9" fillId="54" borderId="17" applyAlignment="1" applyProtection="1" pivotButton="0" quotePrefix="0" xfId="98">
      <alignment horizontal="right" vertical="center"/>
      <protection locked="1" hidden="1"/>
    </xf>
    <xf numFmtId="3" fontId="9" fillId="54" borderId="0" applyAlignment="1" applyProtection="1" pivotButton="0" quotePrefix="0" xfId="98">
      <alignment horizontal="right" vertical="center"/>
      <protection locked="1" hidden="1"/>
    </xf>
    <xf numFmtId="3" fontId="9" fillId="54" borderId="19" applyAlignment="1" applyProtection="1" pivotButton="0" quotePrefix="0" xfId="98">
      <alignment horizontal="right" vertical="center"/>
      <protection locked="1" hidden="1"/>
    </xf>
    <xf numFmtId="0" fontId="47" fillId="0" borderId="3" applyAlignment="1" pivotButton="0" quotePrefix="0" xfId="98">
      <alignment horizontal="left" vertical="center"/>
    </xf>
    <xf numFmtId="0" fontId="9" fillId="42" borderId="1" applyAlignment="1" pivotButton="0" quotePrefix="0" xfId="98">
      <alignment horizontal="left" vertical="center"/>
    </xf>
    <xf numFmtId="0" fontId="46" fillId="42" borderId="1" applyAlignment="1" pivotButton="0" quotePrefix="0" xfId="0">
      <alignment horizontal="center" vertical="center" textRotation="90" wrapText="1"/>
    </xf>
    <xf numFmtId="0" fontId="47" fillId="42" borderId="1" applyAlignment="1" pivotButton="0" quotePrefix="0" xfId="98">
      <alignment horizontal="center" vertical="center" textRotation="90"/>
    </xf>
    <xf numFmtId="0" fontId="46" fillId="54" borderId="3" applyAlignment="1" pivotButton="0" quotePrefix="0" xfId="0">
      <alignment horizontal="left" vertical="center" wrapText="1"/>
    </xf>
    <xf numFmtId="0" fontId="52" fillId="0" borderId="3" applyAlignment="1" pivotButton="0" quotePrefix="0" xfId="98">
      <alignment horizontal="left" vertical="center" wrapText="1"/>
    </xf>
    <xf numFmtId="0" fontId="9" fillId="0" borderId="2" applyAlignment="1" pivotButton="0" quotePrefix="0" xfId="98">
      <alignment vertical="center" wrapText="1"/>
    </xf>
    <xf numFmtId="0" fontId="46" fillId="0" borderId="2" applyAlignment="1" pivotButton="0" quotePrefix="0" xfId="0">
      <alignment vertical="center" wrapText="1"/>
    </xf>
    <xf numFmtId="0" fontId="9" fillId="0" borderId="17" applyAlignment="1" pivotButton="0" quotePrefix="0" xfId="98">
      <alignment horizontal="center"/>
    </xf>
    <xf numFmtId="0" fontId="9" fillId="0" borderId="0" applyAlignment="1" pivotButton="0" quotePrefix="0" xfId="98">
      <alignment horizontal="center"/>
    </xf>
    <xf numFmtId="0" fontId="9" fillId="0" borderId="19" applyAlignment="1" pivotButton="0" quotePrefix="0" xfId="98">
      <alignment horizontal="center"/>
    </xf>
    <xf numFmtId="0" fontId="9" fillId="0" borderId="4" applyAlignment="1" pivotButton="0" quotePrefix="0" xfId="98">
      <alignment horizontal="center"/>
    </xf>
    <xf numFmtId="0" fontId="9" fillId="0" borderId="5" applyAlignment="1" pivotButton="0" quotePrefix="0" xfId="98">
      <alignment horizontal="center"/>
    </xf>
    <xf numFmtId="0" fontId="9" fillId="0" borderId="20" applyAlignment="1" pivotButton="0" quotePrefix="0" xfId="98">
      <alignment horizontal="center"/>
    </xf>
    <xf numFmtId="0" fontId="9" fillId="54" borderId="0" applyAlignment="1" pivotButton="0" quotePrefix="0" xfId="98">
      <alignment horizontal="left" vertical="center"/>
    </xf>
    <xf numFmtId="0" fontId="9" fillId="54" borderId="76" applyAlignment="1" pivotButton="0" quotePrefix="0" xfId="98">
      <alignment horizontal="center"/>
    </xf>
    <xf numFmtId="0" fontId="9" fillId="54" borderId="5" applyAlignment="1" pivotButton="0" quotePrefix="0" xfId="98">
      <alignment horizontal="center"/>
    </xf>
    <xf numFmtId="0" fontId="9" fillId="54" borderId="20" applyAlignment="1" pivotButton="0" quotePrefix="0" xfId="98">
      <alignment horizontal="center"/>
    </xf>
    <xf numFmtId="0" fontId="9" fillId="54" borderId="12" applyAlignment="1" pivotButton="0" quotePrefix="0" xfId="98">
      <alignment horizontal="center"/>
    </xf>
    <xf numFmtId="0" fontId="9" fillId="54" borderId="18" applyAlignment="1" pivotButton="0" quotePrefix="0" xfId="98">
      <alignment horizontal="center"/>
    </xf>
    <xf numFmtId="0" fontId="47" fillId="54" borderId="21" applyAlignment="1" pivotButton="0" quotePrefix="0" xfId="98">
      <alignment horizontal="left" vertical="center" wrapText="1"/>
    </xf>
    <xf numFmtId="0" fontId="9" fillId="54" borderId="12" pivotButton="0" quotePrefix="0" xfId="98"/>
    <xf numFmtId="0" fontId="9" fillId="54" borderId="17" pivotButton="0" quotePrefix="0" xfId="98"/>
    <xf numFmtId="0" fontId="9" fillId="54" borderId="0" pivotButton="0" quotePrefix="0" xfId="98"/>
    <xf numFmtId="0" fontId="9" fillId="54" borderId="73" pivotButton="0" quotePrefix="0" xfId="98"/>
    <xf numFmtId="0" fontId="9" fillId="54" borderId="74" pivotButton="0" quotePrefix="0" xfId="98"/>
    <xf numFmtId="0" fontId="9" fillId="54" borderId="0" applyAlignment="1" pivotButton="0" quotePrefix="0" xfId="98">
      <alignment horizontal="center"/>
    </xf>
    <xf numFmtId="0" fontId="9" fillId="54" borderId="19" applyAlignment="1" pivotButton="0" quotePrefix="0" xfId="98">
      <alignment horizontal="center"/>
    </xf>
    <xf numFmtId="0" fontId="9" fillId="54" borderId="17" applyAlignment="1" pivotButton="0" quotePrefix="0" xfId="98">
      <alignment horizontal="center"/>
    </xf>
    <xf numFmtId="0" fontId="9" fillId="54" borderId="4" applyAlignment="1" pivotButton="0" quotePrefix="0" xfId="98">
      <alignment horizontal="center"/>
    </xf>
    <xf numFmtId="3" fontId="47" fillId="53" borderId="6" applyAlignment="1" pivotButton="0" quotePrefix="0" xfId="98">
      <alignment vertical="center"/>
    </xf>
    <xf numFmtId="3" fontId="47" fillId="53" borderId="7" applyAlignment="1" pivotButton="0" quotePrefix="0" xfId="98">
      <alignment vertical="center"/>
    </xf>
    <xf numFmtId="3" fontId="47" fillId="53" borderId="8" applyAlignment="1" pivotButton="0" quotePrefix="0" xfId="98">
      <alignment vertical="center"/>
    </xf>
    <xf numFmtId="0" fontId="9" fillId="54" borderId="5" applyAlignment="1" pivotButton="0" quotePrefix="0" xfId="98">
      <alignment horizontal="center" vertical="center"/>
    </xf>
    <xf numFmtId="0" fontId="9" fillId="54" borderId="20" applyAlignment="1" pivotButton="0" quotePrefix="0" xfId="98">
      <alignment horizontal="center" vertical="center"/>
    </xf>
    <xf numFmtId="0" fontId="55" fillId="53" borderId="17" applyAlignment="1" pivotButton="0" quotePrefix="0" xfId="98">
      <alignment horizontal="center" vertical="center" wrapText="1"/>
    </xf>
    <xf numFmtId="0" fontId="55" fillId="53" borderId="0" applyAlignment="1" pivotButton="0" quotePrefix="0" xfId="98">
      <alignment horizontal="center" vertical="center" wrapText="1"/>
    </xf>
    <xf numFmtId="0" fontId="55" fillId="53" borderId="19" applyAlignment="1" pivotButton="0" quotePrefix="0" xfId="98">
      <alignment horizontal="center" vertical="center" wrapText="1"/>
    </xf>
    <xf numFmtId="0" fontId="46" fillId="0" borderId="3" applyAlignment="1" pivotButton="0" quotePrefix="0" xfId="0">
      <alignment horizontal="center" vertical="center" textRotation="90" wrapText="1"/>
    </xf>
    <xf numFmtId="0" fontId="0" fillId="42" borderId="0" applyAlignment="1" pivotButton="0" quotePrefix="0" xfId="0">
      <alignment horizontal="left" wrapText="1"/>
    </xf>
    <xf numFmtId="0" fontId="0" fillId="42" borderId="0" applyAlignment="1" pivotButton="0" quotePrefix="0" xfId="0">
      <alignment horizontal="left" vertical="top" wrapText="1"/>
    </xf>
    <xf numFmtId="0" fontId="0" fillId="42" borderId="0" applyAlignment="1" pivotButton="0" quotePrefix="0" xfId="0">
      <alignment horizontal="center" vertical="top" wrapText="1"/>
    </xf>
    <xf numFmtId="0" fontId="0" fillId="59" borderId="0" applyAlignment="1" pivotButton="0" quotePrefix="0" xfId="0">
      <alignment horizontal="center" vertical="center"/>
    </xf>
    <xf numFmtId="167" fontId="0" fillId="44" borderId="0" applyAlignment="1" pivotButton="0" quotePrefix="0" xfId="0">
      <alignment horizontal="center"/>
    </xf>
    <xf numFmtId="0" fontId="0" fillId="44" borderId="0" applyAlignment="1" pivotButton="0" quotePrefix="0" xfId="0">
      <alignment horizontal="center"/>
    </xf>
    <xf numFmtId="0" fontId="57" fillId="42" borderId="1" applyAlignment="1" pivotButton="0" quotePrefix="0" xfId="0">
      <alignment horizontal="center" vertical="center" textRotation="90"/>
    </xf>
    <xf numFmtId="0" fontId="0" fillId="44" borderId="12" applyAlignment="1" pivotButton="0" quotePrefix="0" xfId="0">
      <alignment horizontal="center" vertical="center"/>
    </xf>
    <xf numFmtId="0" fontId="0" fillId="44" borderId="5" applyAlignment="1" pivotButton="0" quotePrefix="0" xfId="0">
      <alignment horizontal="center" vertical="center"/>
    </xf>
    <xf numFmtId="9" fontId="0" fillId="44" borderId="12" applyAlignment="1" pivotButton="0" quotePrefix="0" xfId="3">
      <alignment horizontal="center" vertical="center"/>
    </xf>
    <xf numFmtId="9" fontId="0" fillId="44" borderId="5" applyAlignment="1" pivotButton="0" quotePrefix="0" xfId="3">
      <alignment horizontal="center" vertical="center"/>
    </xf>
    <xf numFmtId="0" fontId="67" fillId="59" borderId="1" pivotButton="0" quotePrefix="0" xfId="105"/>
    <xf numFmtId="0" fontId="66" fillId="73" borderId="1" pivotButton="0" quotePrefix="0" xfId="105"/>
    <xf numFmtId="0" fontId="60" fillId="73" borderId="1" applyAlignment="1" pivotButton="0" quotePrefix="0" xfId="105">
      <alignment vertical="center"/>
    </xf>
    <xf numFmtId="0" fontId="1" fillId="73" borderId="1" pivotButton="0" quotePrefix="0" xfId="105"/>
    <xf numFmtId="0" fontId="106" fillId="59" borderId="1" applyAlignment="1" pivotButton="0" quotePrefix="0" xfId="105">
      <alignment horizontal="left"/>
    </xf>
    <xf numFmtId="9" fontId="66" fillId="59" borderId="1" pivotButton="0" quotePrefix="0" xfId="105"/>
    <xf numFmtId="9" fontId="67" fillId="59" borderId="1" pivotButton="0" quotePrefix="0" xfId="105"/>
    <xf numFmtId="9" fontId="67" fillId="59" borderId="1" applyAlignment="1" pivotButton="0" quotePrefix="0" xfId="105">
      <alignment horizontal="left"/>
    </xf>
    <xf numFmtId="0" fontId="104" fillId="42" borderId="0" applyAlignment="1" pivotButton="0" quotePrefix="0" xfId="105">
      <alignment horizontal="center"/>
    </xf>
    <xf numFmtId="9" fontId="67" fillId="42" borderId="1" applyAlignment="1" applyProtection="1" pivotButton="0" quotePrefix="0" xfId="105">
      <alignment horizontal="left"/>
      <protection locked="0" hidden="0"/>
    </xf>
    <xf numFmtId="0" fontId="58" fillId="0" borderId="32" applyAlignment="1" pivotButton="0" quotePrefix="0" xfId="0">
      <alignment horizontal="center" vertical="center" wrapText="1"/>
    </xf>
    <xf numFmtId="0" fontId="58" fillId="0" borderId="31" applyAlignment="1" pivotButton="0" quotePrefix="0" xfId="0">
      <alignment horizontal="center" vertical="center" wrapText="1"/>
    </xf>
    <xf numFmtId="0" fontId="58" fillId="0" borderId="9" applyAlignment="1" pivotButton="0" quotePrefix="0" xfId="0">
      <alignment horizontal="center" vertical="center" wrapText="1"/>
    </xf>
    <xf numFmtId="0" fontId="58" fillId="0" borderId="13" applyAlignment="1" pivotButton="0" quotePrefix="0" xfId="0">
      <alignment horizontal="center" vertical="center" wrapText="1"/>
    </xf>
    <xf numFmtId="0" fontId="58" fillId="0" borderId="0" applyAlignment="1" pivotButton="0" quotePrefix="0" xfId="0">
      <alignment horizontal="center" vertical="center" wrapText="1"/>
    </xf>
    <xf numFmtId="0" fontId="58" fillId="0" borderId="11" applyAlignment="1" pivotButton="0" quotePrefix="0" xfId="0">
      <alignment horizontal="center" vertical="center" wrapText="1"/>
    </xf>
    <xf numFmtId="0" fontId="58" fillId="0" borderId="14" applyAlignment="1" pivotButton="0" quotePrefix="0" xfId="0">
      <alignment horizontal="center" vertical="center" wrapText="1"/>
    </xf>
    <xf numFmtId="0" fontId="58" fillId="0" borderId="15" applyAlignment="1" pivotButton="0" quotePrefix="0" xfId="0">
      <alignment horizontal="center" vertical="center" wrapText="1"/>
    </xf>
    <xf numFmtId="0" fontId="58" fillId="0" borderId="16" applyAlignment="1" pivotButton="0" quotePrefix="0" xfId="0">
      <alignment horizontal="center" vertical="center" wrapText="1"/>
    </xf>
    <xf numFmtId="0" fontId="62" fillId="56" borderId="1" applyAlignment="1" pivotButton="0" quotePrefix="0" xfId="0">
      <alignment horizontal="left" vertical="center"/>
    </xf>
    <xf numFmtId="0" fontId="62" fillId="56" borderId="21" applyAlignment="1" pivotButton="0" quotePrefix="0" xfId="0">
      <alignment horizontal="center" vertical="center" wrapText="1"/>
    </xf>
    <xf numFmtId="0" fontId="3" fillId="56" borderId="12" applyAlignment="1" pivotButton="0" quotePrefix="0" xfId="0">
      <alignment horizontal="center" vertical="center" wrapText="1"/>
    </xf>
    <xf numFmtId="0" fontId="3" fillId="56" borderId="18" applyAlignment="1" pivotButton="0" quotePrefix="0" xfId="0">
      <alignment horizontal="center" vertical="center" wrapText="1"/>
    </xf>
    <xf numFmtId="0" fontId="3" fillId="56" borderId="4" applyAlignment="1" pivotButton="0" quotePrefix="0" xfId="0">
      <alignment horizontal="center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20" applyAlignment="1" pivotButton="0" quotePrefix="0" xfId="0">
      <alignment horizontal="center" vertical="center" wrapText="1"/>
    </xf>
    <xf numFmtId="165" fontId="62" fillId="56" borderId="1" applyAlignment="1" pivotButton="0" quotePrefix="0" xfId="99">
      <alignment horizontal="center" vertical="center" wrapText="1"/>
    </xf>
    <xf numFmtId="168" fontId="62" fillId="56" borderId="2" applyAlignment="1" pivotButton="0" quotePrefix="0" xfId="99">
      <alignment horizontal="center" vertical="center" wrapText="1"/>
    </xf>
    <xf numFmtId="168" fontId="3" fillId="56" borderId="3" applyAlignment="1" pivotButton="0" quotePrefix="0" xfId="0">
      <alignment horizontal="center" vertical="center" wrapText="1"/>
    </xf>
    <xf numFmtId="0" fontId="62" fillId="56" borderId="2" applyAlignment="1" pivotButton="0" quotePrefix="0" xfId="0">
      <alignment horizontal="center" vertical="center" wrapText="1"/>
    </xf>
    <xf numFmtId="0" fontId="3" fillId="56" borderId="3" applyAlignment="1" pivotButton="0" quotePrefix="0" xfId="0">
      <alignment horizontal="center" vertical="center" wrapText="1"/>
    </xf>
    <xf numFmtId="0" fontId="63" fillId="57" borderId="21" applyAlignment="1" pivotButton="0" quotePrefix="0" xfId="0">
      <alignment vertical="center" wrapText="1"/>
    </xf>
    <xf numFmtId="0" fontId="3" fillId="0" borderId="12" applyAlignment="1" pivotButton="0" quotePrefix="0" xfId="0">
      <alignment vertical="center" wrapText="1"/>
    </xf>
    <xf numFmtId="0" fontId="63" fillId="58" borderId="21" applyAlignment="1" pivotButton="0" quotePrefix="0" xfId="0">
      <alignment vertical="center" wrapText="1"/>
    </xf>
    <xf numFmtId="0" fontId="63" fillId="58" borderId="12" applyAlignment="1" pivotButton="0" quotePrefix="0" xfId="0">
      <alignment vertical="center" wrapText="1"/>
    </xf>
    <xf numFmtId="0" fontId="63" fillId="58" borderId="18" applyAlignment="1" pivotButton="0" quotePrefix="0" xfId="0">
      <alignment vertical="center" wrapText="1"/>
    </xf>
    <xf numFmtId="0" fontId="61" fillId="57" borderId="10" applyAlignment="1" pivotButton="0" quotePrefix="0" xfId="0">
      <alignment horizontal="left" vertical="center"/>
    </xf>
    <xf numFmtId="0" fontId="3" fillId="57" borderId="10" applyAlignment="1" pivotButton="0" quotePrefix="0" xfId="0">
      <alignment horizontal="left"/>
    </xf>
    <xf numFmtId="0" fontId="3" fillId="57" borderId="4" applyAlignment="1" pivotButton="0" quotePrefix="0" xfId="0">
      <alignment horizontal="left"/>
    </xf>
    <xf numFmtId="0" fontId="61" fillId="58" borderId="10" pivotButton="0" quotePrefix="0" xfId="0"/>
    <xf numFmtId="0" fontId="3" fillId="58" borderId="10" pivotButton="0" quotePrefix="0" xfId="0"/>
    <xf numFmtId="0" fontId="3" fillId="58" borderId="3" pivotButton="0" quotePrefix="0" xfId="0"/>
    <xf numFmtId="0" fontId="61" fillId="0" borderId="6" applyAlignment="1" pivotButton="0" quotePrefix="0" xfId="0">
      <alignment vertical="center" wrapText="1"/>
    </xf>
    <xf numFmtId="0" fontId="3" fillId="0" borderId="7" applyAlignment="1" pivotButton="0" quotePrefix="0" xfId="0">
      <alignment vertical="center" wrapText="1"/>
    </xf>
    <xf numFmtId="0" fontId="3" fillId="0" borderId="8" applyAlignment="1" pivotButton="0" quotePrefix="0" xfId="0">
      <alignment vertical="center" wrapText="1"/>
    </xf>
    <xf numFmtId="0" fontId="3" fillId="0" borderId="18" applyAlignment="1" pivotButton="0" quotePrefix="0" xfId="0">
      <alignment vertical="center" wrapText="1"/>
    </xf>
    <xf numFmtId="0" fontId="63" fillId="58" borderId="10" applyAlignment="1" pivotButton="0" quotePrefix="0" xfId="0">
      <alignment vertical="center" wrapText="1"/>
    </xf>
    <xf numFmtId="0" fontId="3" fillId="0" borderId="10" applyAlignment="1" pivotButton="0" quotePrefix="0" xfId="0">
      <alignment vertical="center" wrapText="1"/>
    </xf>
    <xf numFmtId="0" fontId="3" fillId="0" borderId="3" applyAlignment="1" pivotButton="0" quotePrefix="0" xfId="0">
      <alignment vertical="center" wrapText="1"/>
    </xf>
    <xf numFmtId="0" fontId="61" fillId="0" borderId="6" applyAlignment="1" pivotButton="0" quotePrefix="0" xfId="0">
      <alignment horizontal="left" vertical="center" wrapText="1"/>
    </xf>
    <xf numFmtId="0" fontId="61" fillId="0" borderId="8" applyAlignment="1" pivotButton="0" quotePrefix="0" xfId="0">
      <alignment horizontal="left" vertical="center" wrapText="1"/>
    </xf>
    <xf numFmtId="0" fontId="63" fillId="59" borderId="21" applyAlignment="1" pivotButton="0" quotePrefix="0" xfId="0">
      <alignment horizontal="left" vertical="center" wrapText="1"/>
    </xf>
    <xf numFmtId="0" fontId="3" fillId="0" borderId="12" applyAlignment="1" pivotButton="0" quotePrefix="0" xfId="0">
      <alignment horizontal="left" vertical="center" wrapText="1"/>
    </xf>
    <xf numFmtId="0" fontId="3" fillId="0" borderId="18" applyAlignment="1" pivotButton="0" quotePrefix="0" xfId="0">
      <alignment horizontal="left" vertical="center" wrapText="1"/>
    </xf>
    <xf numFmtId="0" fontId="61" fillId="58" borderId="10" applyAlignment="1" pivotButton="0" quotePrefix="0" xfId="0">
      <alignment horizontal="left"/>
    </xf>
    <xf numFmtId="0" fontId="3" fillId="58" borderId="10" applyAlignment="1" pivotButton="0" quotePrefix="0" xfId="0">
      <alignment horizontal="left"/>
    </xf>
    <xf numFmtId="0" fontId="3" fillId="58" borderId="3" applyAlignment="1" pivotButton="0" quotePrefix="0" xfId="0">
      <alignment horizontal="left"/>
    </xf>
    <xf numFmtId="0" fontId="61" fillId="0" borderId="2" applyAlignment="1" pivotButton="0" quotePrefix="0" xfId="0">
      <alignment horizontal="left" vertical="center" wrapText="1"/>
    </xf>
    <xf numFmtId="0" fontId="3" fillId="0" borderId="3" applyAlignment="1" pivotButton="0" quotePrefix="0" xfId="0">
      <alignment horizontal="left" vertical="center" wrapText="1"/>
    </xf>
    <xf numFmtId="0" fontId="63" fillId="58" borderId="10" applyAlignment="1" pivotButton="0" quotePrefix="0" xfId="0">
      <alignment horizontal="left" vertical="center"/>
    </xf>
    <xf numFmtId="0" fontId="3" fillId="58" borderId="10" applyAlignment="1" pivotButton="0" quotePrefix="0" xfId="0">
      <alignment horizontal="left" vertical="center"/>
    </xf>
    <xf numFmtId="0" fontId="3" fillId="58" borderId="3" applyAlignment="1" pivotButton="0" quotePrefix="0" xfId="0">
      <alignment horizontal="left" vertical="center"/>
    </xf>
    <xf numFmtId="0" fontId="61" fillId="0" borderId="2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61" fillId="0" borderId="8" applyAlignment="1" pivotButton="0" quotePrefix="0" xfId="0">
      <alignment vertical="center" wrapText="1"/>
    </xf>
    <xf numFmtId="0" fontId="3" fillId="0" borderId="8" applyAlignment="1" pivotButton="0" quotePrefix="0" xfId="0">
      <alignment horizontal="left" vertical="center" wrapText="1"/>
    </xf>
    <xf numFmtId="0" fontId="63" fillId="59" borderId="21" applyAlignment="1" pivotButton="0" quotePrefix="0" xfId="0">
      <alignment vertical="center" wrapText="1"/>
    </xf>
    <xf numFmtId="0" fontId="61" fillId="0" borderId="0" applyAlignment="1" pivotButton="0" quotePrefix="0" xfId="0">
      <alignment vertical="center" wrapText="1"/>
    </xf>
    <xf numFmtId="0" fontId="61" fillId="58" borderId="10" applyAlignment="1" pivotButton="0" quotePrefix="0" xfId="0">
      <alignment horizontal="left" vertical="center"/>
    </xf>
    <xf numFmtId="0" fontId="63" fillId="0" borderId="6" applyAlignment="1" pivotButton="0" quotePrefix="0" xfId="0">
      <alignment vertical="center" wrapText="1"/>
    </xf>
    <xf numFmtId="0" fontId="63" fillId="0" borderId="21" applyAlignment="1" pivotButton="0" quotePrefix="0" xfId="0">
      <alignment vertical="center" wrapText="1"/>
    </xf>
    <xf numFmtId="0" fontId="63" fillId="58" borderId="6" applyAlignment="1" pivotButton="0" quotePrefix="0" xfId="0">
      <alignment vertical="center" wrapText="1"/>
    </xf>
    <xf numFmtId="0" fontId="63" fillId="58" borderId="2" applyAlignment="1" pivotButton="0" quotePrefix="0" xfId="0">
      <alignment horizontal="left" vertical="center"/>
    </xf>
    <xf numFmtId="0" fontId="61" fillId="0" borderId="21" applyAlignment="1" pivotButton="0" quotePrefix="0" xfId="0">
      <alignment vertical="center" wrapText="1"/>
    </xf>
    <xf numFmtId="0" fontId="3" fillId="0" borderId="4" applyAlignment="1" pivotButton="0" quotePrefix="0" xfId="0">
      <alignment vertical="center" wrapText="1"/>
    </xf>
    <xf numFmtId="0" fontId="3" fillId="0" borderId="20" applyAlignment="1" pivotButton="0" quotePrefix="0" xfId="0">
      <alignment vertical="center" wrapText="1"/>
    </xf>
    <xf numFmtId="0" fontId="63" fillId="0" borderId="8" applyAlignment="1" pivotButton="0" quotePrefix="0" xfId="0">
      <alignment vertical="center" wrapText="1"/>
    </xf>
    <xf numFmtId="0" fontId="63" fillId="0" borderId="6" applyAlignment="1" pivotButton="0" quotePrefix="0" xfId="0">
      <alignment horizontal="left" vertical="center" wrapText="1"/>
    </xf>
    <xf numFmtId="0" fontId="63" fillId="0" borderId="8" applyAlignment="1" pivotButton="0" quotePrefix="0" xfId="0">
      <alignment horizontal="left" vertical="center" wrapText="1"/>
    </xf>
    <xf numFmtId="0" fontId="3" fillId="0" borderId="10" applyAlignment="1" pivotButton="0" quotePrefix="0" xfId="0">
      <alignment horizontal="left"/>
    </xf>
    <xf numFmtId="0" fontId="3" fillId="0" borderId="3" applyAlignment="1" pivotButton="0" quotePrefix="0" xfId="0">
      <alignment horizontal="left"/>
    </xf>
    <xf numFmtId="0" fontId="61" fillId="0" borderId="3" applyAlignment="1" pivotButton="0" quotePrefix="0" xfId="0">
      <alignment horizontal="left" vertical="center" wrapText="1"/>
    </xf>
    <xf numFmtId="0" fontId="61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63" fillId="0" borderId="2" applyAlignment="1" pivotButton="0" quotePrefix="0" xfId="0">
      <alignment horizontal="left" vertical="center"/>
    </xf>
    <xf numFmtId="0" fontId="3" fillId="0" borderId="10" applyAlignment="1" pivotButton="0" quotePrefix="0" xfId="0">
      <alignment horizontal="left" vertical="center"/>
    </xf>
    <xf numFmtId="0" fontId="3" fillId="0" borderId="3" applyAlignment="1" pivotButton="0" quotePrefix="0" xfId="0">
      <alignment horizontal="left" vertical="center"/>
    </xf>
    <xf numFmtId="0" fontId="60" fillId="57" borderId="7" applyAlignment="1" pivotButton="0" quotePrefix="0" xfId="0">
      <alignment horizontal="center" vertical="center" wrapText="1"/>
    </xf>
    <xf numFmtId="0" fontId="3" fillId="57" borderId="7" applyAlignment="1" pivotButton="0" quotePrefix="0" xfId="0">
      <alignment horizontal="center" vertical="center" wrapText="1"/>
    </xf>
    <xf numFmtId="0" fontId="3" fillId="57" borderId="8" applyAlignment="1" pivotButton="0" quotePrefix="0" xfId="0">
      <alignment horizontal="center" vertical="center" wrapText="1"/>
    </xf>
    <xf numFmtId="0" fontId="63" fillId="59" borderId="2" applyAlignment="1" pivotButton="0" quotePrefix="0" xfId="0">
      <alignment vertical="center" wrapText="1"/>
    </xf>
    <xf numFmtId="0" fontId="3" fillId="0" borderId="2" applyAlignment="1" pivotButton="0" quotePrefix="0" xfId="0">
      <alignment vertical="center" wrapText="1"/>
    </xf>
    <xf numFmtId="0" fontId="61" fillId="0" borderId="21" applyAlignment="1" pivotButton="0" quotePrefix="0" xfId="0">
      <alignment horizontal="left" vertical="center" wrapText="1"/>
    </xf>
    <xf numFmtId="0" fontId="61" fillId="0" borderId="18" applyAlignment="1" pivotButton="0" quotePrefix="0" xfId="0">
      <alignment horizontal="left" vertical="center" wrapText="1"/>
    </xf>
    <xf numFmtId="0" fontId="8" fillId="0" borderId="8" applyAlignment="1" pivotButton="0" quotePrefix="0" xfId="0">
      <alignment horizontal="left" vertical="center" wrapText="1"/>
    </xf>
    <xf numFmtId="0" fontId="63" fillId="59" borderId="10" applyAlignment="1" pivotButton="0" quotePrefix="0" xfId="0">
      <alignment horizontal="left" vertical="center"/>
    </xf>
    <xf numFmtId="0" fontId="3" fillId="0" borderId="7" applyAlignment="1" pivotButton="0" quotePrefix="0" xfId="0">
      <alignment horizontal="left" vertical="center" wrapText="1"/>
    </xf>
    <xf numFmtId="0" fontId="63" fillId="60" borderId="21" applyAlignment="1" pivotButton="0" quotePrefix="0" xfId="0">
      <alignment vertical="center" wrapText="1"/>
    </xf>
    <xf numFmtId="0" fontId="63" fillId="60" borderId="10" applyAlignment="1" pivotButton="0" quotePrefix="0" xfId="0">
      <alignment horizontal="left" vertical="center"/>
    </xf>
    <xf numFmtId="0" fontId="3" fillId="60" borderId="10" applyAlignment="1" pivotButton="0" quotePrefix="0" xfId="0">
      <alignment horizontal="left"/>
    </xf>
    <xf numFmtId="0" fontId="3" fillId="60" borderId="4" applyAlignment="1" pivotButton="0" quotePrefix="0" xfId="0">
      <alignment horizontal="left"/>
    </xf>
    <xf numFmtId="0" fontId="63" fillId="58" borderId="2" applyAlignment="1" pivotButton="0" quotePrefix="0" xfId="0">
      <alignment vertical="center" wrapText="1"/>
    </xf>
    <xf numFmtId="0" fontId="63" fillId="58" borderId="10" applyAlignment="1" pivotButton="0" quotePrefix="0" xfId="0">
      <alignment horizontal="left"/>
    </xf>
    <xf numFmtId="0" fontId="8" fillId="0" borderId="7" applyAlignment="1" pivotButton="0" quotePrefix="0" xfId="0">
      <alignment vertical="center" wrapText="1"/>
    </xf>
    <xf numFmtId="0" fontId="8" fillId="0" borderId="8" applyAlignment="1" pivotButton="0" quotePrefix="0" xfId="0">
      <alignment vertical="center" wrapText="1"/>
    </xf>
    <xf numFmtId="0" fontId="60" fillId="60" borderId="7" applyAlignment="1" pivotButton="0" quotePrefix="0" xfId="0">
      <alignment horizontal="center" vertical="center" wrapText="1"/>
    </xf>
    <xf numFmtId="0" fontId="3" fillId="60" borderId="7" applyAlignment="1" pivotButton="0" quotePrefix="0" xfId="0">
      <alignment horizontal="center" vertical="center" wrapText="1"/>
    </xf>
    <xf numFmtId="0" fontId="3" fillId="60" borderId="8" applyAlignment="1" pivotButton="0" quotePrefix="0" xfId="0">
      <alignment horizontal="center" vertical="center" wrapText="1"/>
    </xf>
    <xf numFmtId="0" fontId="60" fillId="57" borderId="1" applyAlignment="1" pivotButton="0" quotePrefix="0" xfId="0">
      <alignment horizontal="center" vertical="center" wrapText="1"/>
    </xf>
    <xf numFmtId="0" fontId="3" fillId="57" borderId="1" applyAlignment="1" pivotButton="0" quotePrefix="0" xfId="0">
      <alignment horizontal="center" vertical="center" wrapText="1"/>
    </xf>
    <xf numFmtId="0" fontId="62" fillId="61" borderId="2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63" fillId="61" borderId="10" applyAlignment="1" pivotButton="0" quotePrefix="0" xfId="0">
      <alignment horizontal="left" vertical="center"/>
    </xf>
    <xf numFmtId="0" fontId="3" fillId="61" borderId="10" applyAlignment="1" pivotButton="0" quotePrefix="0" xfId="0">
      <alignment horizontal="left"/>
    </xf>
    <xf numFmtId="0" fontId="3" fillId="61" borderId="4" applyAlignment="1" pivotButton="0" quotePrefix="0" xfId="0">
      <alignment horizontal="left"/>
    </xf>
    <xf numFmtId="0" fontId="61" fillId="58" borderId="2" applyAlignment="1" pivotButton="0" quotePrefix="0" xfId="0">
      <alignment horizontal="left"/>
    </xf>
    <xf numFmtId="0" fontId="60" fillId="61" borderId="7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1" fontId="66" fillId="45" borderId="21" applyAlignment="1" pivotButton="0" quotePrefix="0" xfId="0">
      <alignment horizontal="center" vertical="center" wrapText="1"/>
    </xf>
    <xf numFmtId="0" fontId="61" fillId="8" borderId="21" applyAlignment="1" pivotButton="0" quotePrefix="0" xfId="0">
      <alignment horizontal="center" vertical="center" textRotation="90" wrapText="1"/>
    </xf>
    <xf numFmtId="0" fontId="3" fillId="8" borderId="18" applyAlignment="1" pivotButton="0" quotePrefix="0" xfId="0">
      <alignment horizontal="center" vertical="center" textRotation="90" wrapText="1"/>
    </xf>
    <xf numFmtId="0" fontId="3" fillId="8" borderId="17" applyAlignment="1" pivotButton="0" quotePrefix="0" xfId="0">
      <alignment horizontal="center" vertical="center" textRotation="90" wrapText="1"/>
    </xf>
    <xf numFmtId="0" fontId="3" fillId="8" borderId="19" applyAlignment="1" pivotButton="0" quotePrefix="0" xfId="0">
      <alignment horizontal="center" vertical="center" textRotation="90" wrapText="1"/>
    </xf>
    <xf numFmtId="0" fontId="3" fillId="0" borderId="17" pivotButton="0" quotePrefix="0" xfId="0"/>
    <xf numFmtId="0" fontId="3" fillId="0" borderId="19" pivotButton="0" quotePrefix="0" xfId="0"/>
    <xf numFmtId="0" fontId="3" fillId="0" borderId="4" pivotButton="0" quotePrefix="0" xfId="0"/>
    <xf numFmtId="0" fontId="3" fillId="0" borderId="20" pivotButton="0" quotePrefix="0" xfId="0"/>
    <xf numFmtId="0" fontId="57" fillId="0" borderId="6" applyAlignment="1" pivotButton="0" quotePrefix="0" xfId="0">
      <alignment horizontal="left" vertical="center" wrapText="1"/>
    </xf>
    <xf numFmtId="0" fontId="57" fillId="0" borderId="8" applyAlignment="1" pivotButton="0" quotePrefix="0" xfId="0">
      <alignment horizontal="left" vertical="center" wrapText="1"/>
    </xf>
    <xf numFmtId="0" fontId="3" fillId="45" borderId="10" applyAlignment="1" pivotButton="0" quotePrefix="0" xfId="0">
      <alignment horizontal="left"/>
    </xf>
    <xf numFmtId="0" fontId="3" fillId="10" borderId="12" applyAlignment="1" pivotButton="0" quotePrefix="0" xfId="0">
      <alignment horizontal="center" vertical="center" textRotation="90" wrapText="1"/>
    </xf>
    <xf numFmtId="0" fontId="3" fillId="10" borderId="18" applyAlignment="1" pivotButton="0" quotePrefix="0" xfId="0">
      <alignment horizontal="center" vertical="center" textRotation="90" wrapText="1"/>
    </xf>
    <xf numFmtId="0" fontId="3" fillId="10" borderId="0" applyAlignment="1" pivotButton="0" quotePrefix="0" xfId="0">
      <alignment horizontal="center" vertical="center" textRotation="90" wrapText="1"/>
    </xf>
    <xf numFmtId="0" fontId="3" fillId="10" borderId="19" applyAlignment="1" pivotButton="0" quotePrefix="0" xfId="0">
      <alignment horizontal="center" vertical="center" textRotation="90" wrapText="1"/>
    </xf>
    <xf numFmtId="0" fontId="57" fillId="0" borderId="1" applyAlignment="1" pivotButton="0" quotePrefix="0" xfId="0">
      <alignment horizontal="left" vertical="center" wrapText="1"/>
    </xf>
    <xf numFmtId="0" fontId="1" fillId="0" borderId="8" applyAlignment="1" pivotButton="0" quotePrefix="0" xfId="0">
      <alignment horizontal="left" vertical="center" wrapText="1"/>
    </xf>
    <xf numFmtId="0" fontId="57" fillId="62" borderId="12" applyAlignment="1" pivotButton="0" quotePrefix="0" xfId="0">
      <alignment horizontal="center" vertical="center" textRotation="90" wrapText="1"/>
    </xf>
    <xf numFmtId="0" fontId="3" fillId="62" borderId="18" applyAlignment="1" pivotButton="0" quotePrefix="0" xfId="0">
      <alignment horizontal="center" vertical="center" textRotation="90" wrapText="1"/>
    </xf>
    <xf numFmtId="0" fontId="3" fillId="62" borderId="0" applyAlignment="1" pivotButton="0" quotePrefix="0" xfId="0">
      <alignment horizontal="center" vertical="center" textRotation="90" wrapText="1"/>
    </xf>
    <xf numFmtId="0" fontId="3" fillId="62" borderId="19" applyAlignment="1" pivotButton="0" quotePrefix="0" xfId="0">
      <alignment horizontal="center" vertical="center" textRotation="90" wrapText="1"/>
    </xf>
    <xf numFmtId="0" fontId="68" fillId="0" borderId="32" applyAlignment="1" pivotButton="0" quotePrefix="0" xfId="0">
      <alignment horizontal="center" vertical="center" wrapText="1"/>
    </xf>
    <xf numFmtId="0" fontId="68" fillId="0" borderId="31" applyAlignment="1" pivotButton="0" quotePrefix="0" xfId="0">
      <alignment horizontal="center" vertical="center" wrapText="1"/>
    </xf>
    <xf numFmtId="0" fontId="69" fillId="0" borderId="9" pivotButton="0" quotePrefix="0" xfId="0"/>
    <xf numFmtId="0" fontId="68" fillId="0" borderId="13" applyAlignment="1" pivotButton="0" quotePrefix="0" xfId="0">
      <alignment horizontal="center" vertical="center" wrapText="1"/>
    </xf>
    <xf numFmtId="0" fontId="68" fillId="0" borderId="0" applyAlignment="1" pivotButton="0" quotePrefix="0" xfId="0">
      <alignment horizontal="center" vertical="center" wrapText="1"/>
    </xf>
    <xf numFmtId="0" fontId="69" fillId="0" borderId="11" pivotButton="0" quotePrefix="0" xfId="0"/>
    <xf numFmtId="0" fontId="68" fillId="0" borderId="14" applyAlignment="1" pivotButton="0" quotePrefix="0" xfId="0">
      <alignment horizontal="center" vertical="center" wrapText="1"/>
    </xf>
    <xf numFmtId="0" fontId="68" fillId="0" borderId="15" applyAlignment="1" pivotButton="0" quotePrefix="0" xfId="0">
      <alignment horizontal="center" vertical="center" wrapText="1"/>
    </xf>
    <xf numFmtId="0" fontId="69" fillId="0" borderId="16" pivotButton="0" quotePrefix="0" xfId="0"/>
    <xf numFmtId="2" fontId="70" fillId="56" borderId="6" applyAlignment="1" pivotButton="0" quotePrefix="0" xfId="0">
      <alignment horizontal="center" vertical="center" wrapText="1"/>
    </xf>
    <xf numFmtId="0" fontId="71" fillId="56" borderId="7" applyAlignment="1" pivotButton="0" quotePrefix="0" xfId="0">
      <alignment vertical="center" wrapText="1"/>
    </xf>
    <xf numFmtId="0" fontId="71" fillId="56" borderId="8" applyAlignment="1" pivotButton="0" quotePrefix="0" xfId="0">
      <alignment vertical="center" wrapText="1"/>
    </xf>
    <xf numFmtId="0" fontId="70" fillId="56" borderId="1" applyAlignment="1" pivotButton="0" quotePrefix="0" xfId="0">
      <alignment horizontal="center" vertical="center" wrapText="1"/>
    </xf>
    <xf numFmtId="0" fontId="71" fillId="56" borderId="1" applyAlignment="1" pivotButton="0" quotePrefix="0" xfId="0">
      <alignment horizontal="center" vertical="center" wrapText="1"/>
    </xf>
    <xf numFmtId="0" fontId="71" fillId="56" borderId="1" applyAlignment="1" pivotButton="0" quotePrefix="0" xfId="0">
      <alignment wrapText="1"/>
    </xf>
    <xf numFmtId="0" fontId="63" fillId="57" borderId="2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61" fillId="57" borderId="3" pivotButton="0" quotePrefix="0" xfId="0"/>
    <xf numFmtId="0" fontId="0" fillId="57" borderId="1" pivotButton="0" quotePrefix="0" xfId="0"/>
    <xf numFmtId="0" fontId="0" fillId="57" borderId="6" pivotButton="0" quotePrefix="0" xfId="0"/>
    <xf numFmtId="0" fontId="8" fillId="58" borderId="2" applyAlignment="1" pivotButton="0" quotePrefix="0" xfId="0">
      <alignment vertical="center" wrapText="1"/>
    </xf>
    <xf numFmtId="0" fontId="0" fillId="58" borderId="3" pivotButton="0" quotePrefix="0" xfId="0"/>
    <xf numFmtId="0" fontId="0" fillId="58" borderId="1" pivotButton="0" quotePrefix="0" xfId="0"/>
    <xf numFmtId="0" fontId="61" fillId="58" borderId="3" pivotButton="0" quotePrefix="0" xfId="0"/>
    <xf numFmtId="0" fontId="61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61" fillId="0" borderId="6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/>
    </xf>
    <xf numFmtId="0" fontId="0" fillId="58" borderId="2" applyAlignment="1" pivotButton="0" quotePrefix="0" xfId="0">
      <alignment horizontal="left" vertical="center"/>
    </xf>
    <xf numFmtId="0" fontId="61" fillId="0" borderId="7" applyAlignment="1" pivotButton="0" quotePrefix="0" xfId="0">
      <alignment horizontal="left" vertical="center"/>
    </xf>
    <xf numFmtId="0" fontId="61" fillId="0" borderId="8" applyAlignment="1" pivotButton="0" quotePrefix="0" xfId="0">
      <alignment horizontal="left" vertical="center"/>
    </xf>
    <xf numFmtId="0" fontId="63" fillId="58" borderId="21" applyAlignment="1" pivotButton="0" quotePrefix="0" xfId="0">
      <alignment horizontal="left" vertical="center" wrapText="1"/>
    </xf>
    <xf numFmtId="0" fontId="63" fillId="58" borderId="12" applyAlignment="1" pivotButton="0" quotePrefix="0" xfId="0">
      <alignment horizontal="left" vertical="center" wrapText="1"/>
    </xf>
    <xf numFmtId="0" fontId="0" fillId="58" borderId="12" applyAlignment="1" pivotButton="0" quotePrefix="0" xfId="0">
      <alignment horizontal="left" vertical="center"/>
    </xf>
    <xf numFmtId="0" fontId="0" fillId="58" borderId="18" applyAlignment="1" pivotButton="0" quotePrefix="0" xfId="0">
      <alignment horizontal="left" vertical="center"/>
    </xf>
    <xf numFmtId="0" fontId="0" fillId="58" borderId="10" pivotButton="0" quotePrefix="0" xfId="0"/>
    <xf numFmtId="0" fontId="61" fillId="0" borderId="6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0" fontId="0" fillId="0" borderId="12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20" applyAlignment="1" pivotButton="0" quotePrefix="0" xfId="0">
      <alignment vertical="center" wrapText="1"/>
    </xf>
    <xf numFmtId="0" fontId="63" fillId="58" borderId="21" applyAlignment="1" pivotButton="0" quotePrefix="0" xfId="0">
      <alignment vertical="center"/>
    </xf>
    <xf numFmtId="0" fontId="63" fillId="0" borderId="12" applyAlignment="1" pivotButton="0" quotePrefix="0" xfId="0">
      <alignment vertical="center"/>
    </xf>
    <xf numFmtId="0" fontId="63" fillId="0" borderId="18" applyAlignment="1" pivotButton="0" quotePrefix="0" xfId="0">
      <alignment vertical="center"/>
    </xf>
    <xf numFmtId="0" fontId="0" fillId="0" borderId="10" pivotButton="0" quotePrefix="0" xfId="0"/>
    <xf numFmtId="0" fontId="61" fillId="0" borderId="7" applyAlignment="1" pivotButton="0" quotePrefix="0" xfId="0">
      <alignment vertical="center"/>
    </xf>
    <xf numFmtId="0" fontId="61" fillId="0" borderId="8" applyAlignment="1" pivotButton="0" quotePrefix="0" xfId="0">
      <alignment vertical="center"/>
    </xf>
    <xf numFmtId="0" fontId="61" fillId="0" borderId="7" applyAlignment="1" pivotButton="0" quotePrefix="0" xfId="0">
      <alignment vertical="center" wrapText="1"/>
    </xf>
    <xf numFmtId="0" fontId="61" fillId="0" borderId="21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0" fillId="0" borderId="19" applyAlignment="1" pivotButton="0" quotePrefix="0" xfId="0">
      <alignment vertical="center" wrapText="1"/>
    </xf>
    <xf numFmtId="0" fontId="61" fillId="0" borderId="7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0" borderId="20" applyAlignment="1" pivotButton="0" quotePrefix="0" xfId="0">
      <alignment horizontal="left" vertical="center" wrapText="1"/>
    </xf>
    <xf numFmtId="0" fontId="0" fillId="58" borderId="10" applyAlignment="1" pivotButton="0" quotePrefix="0" xfId="0">
      <alignment vertical="center"/>
    </xf>
    <xf numFmtId="0" fontId="0" fillId="0" borderId="3" pivotButton="0" quotePrefix="0" xfId="0"/>
    <xf numFmtId="0" fontId="63" fillId="0" borderId="7" applyAlignment="1" pivotButton="0" quotePrefix="0" xfId="0">
      <alignment horizontal="left" vertical="center" wrapText="1"/>
    </xf>
    <xf numFmtId="0" fontId="8" fillId="0" borderId="12" pivotButton="0" quotePrefix="0" xfId="0"/>
    <xf numFmtId="0" fontId="8" fillId="0" borderId="18" pivotButton="0" quotePrefix="0" xfId="0"/>
    <xf numFmtId="0" fontId="8" fillId="0" borderId="7" applyAlignment="1" pivotButton="0" quotePrefix="0" xfId="0">
      <alignment horizontal="left" vertical="center"/>
    </xf>
    <xf numFmtId="0" fontId="8" fillId="0" borderId="8" applyAlignment="1" pivotButton="0" quotePrefix="0" xfId="0">
      <alignment horizontal="left" vertical="center"/>
    </xf>
    <xf numFmtId="0" fontId="0" fillId="0" borderId="12" applyAlignment="1" pivotButton="0" quotePrefix="0" xfId="0">
      <alignment horizontal="center" vertical="center" wrapText="1"/>
    </xf>
    <xf numFmtId="0" fontId="0" fillId="0" borderId="18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9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20" applyAlignment="1" pivotButton="0" quotePrefix="0" xfId="0">
      <alignment horizontal="center" vertical="center" wrapText="1"/>
    </xf>
    <xf numFmtId="0" fontId="63" fillId="0" borderId="4" applyAlignment="1" pivotButton="0" quotePrefix="0" xfId="0">
      <alignment vertical="center" wrapText="1"/>
    </xf>
    <xf numFmtId="0" fontId="8" fillId="0" borderId="5" applyAlignment="1" pivotButton="0" quotePrefix="0" xfId="0">
      <alignment vertical="center" wrapText="1"/>
    </xf>
    <xf numFmtId="0" fontId="8" fillId="0" borderId="20" applyAlignment="1" pivotButton="0" quotePrefix="0" xfId="0">
      <alignment vertical="center" wrapText="1"/>
    </xf>
    <xf numFmtId="0" fontId="63" fillId="57" borderId="7" applyAlignment="1" pivotButton="0" quotePrefix="0" xfId="0">
      <alignment horizontal="center" vertical="center" wrapText="1"/>
    </xf>
    <xf numFmtId="0" fontId="0" fillId="57" borderId="7" applyAlignment="1" pivotButton="0" quotePrefix="0" xfId="0">
      <alignment vertical="center"/>
    </xf>
    <xf numFmtId="0" fontId="0" fillId="57" borderId="8" applyAlignment="1" pivotButton="0" quotePrefix="0" xfId="0">
      <alignment vertical="center"/>
    </xf>
    <xf numFmtId="2" fontId="63" fillId="65" borderId="21" applyAlignment="1" pivotButton="0" quotePrefix="0" xfId="0">
      <alignment horizontal="left" vertical="center" wrapText="1"/>
    </xf>
    <xf numFmtId="0" fontId="61" fillId="65" borderId="3" pivotButton="0" quotePrefix="0" xfId="0"/>
    <xf numFmtId="0" fontId="0" fillId="65" borderId="1" pivotButton="0" quotePrefix="0" xfId="0"/>
    <xf numFmtId="0" fontId="0" fillId="65" borderId="6" pivotButton="0" quotePrefix="0" xfId="0"/>
    <xf numFmtId="0" fontId="63" fillId="58" borderId="2" applyAlignment="1" pivotButton="0" quotePrefix="0" xfId="0">
      <alignment horizontal="left" vertical="center" wrapText="1"/>
    </xf>
    <xf numFmtId="0" fontId="0" fillId="58" borderId="2" applyAlignment="1" pivotButton="0" quotePrefix="0" xfId="0">
      <alignment horizontal="left" vertical="center" wrapText="1"/>
    </xf>
    <xf numFmtId="0" fontId="0" fillId="0" borderId="17" applyAlignment="1" pivotButton="0" quotePrefix="0" xfId="0">
      <alignment vertical="center" wrapText="1"/>
    </xf>
    <xf numFmtId="0" fontId="61" fillId="0" borderId="12" applyAlignment="1" pivotButton="0" quotePrefix="0" xfId="0">
      <alignment vertical="center" wrapText="1"/>
    </xf>
    <xf numFmtId="0" fontId="61" fillId="0" borderId="18" applyAlignment="1" pivotButton="0" quotePrefix="0" xfId="0">
      <alignment vertical="center" wrapText="1"/>
    </xf>
    <xf numFmtId="0" fontId="61" fillId="0" borderId="4" applyAlignment="1" pivotButton="0" quotePrefix="0" xfId="0">
      <alignment vertical="center" wrapText="1"/>
    </xf>
    <xf numFmtId="0" fontId="61" fillId="0" borderId="5" applyAlignment="1" pivotButton="0" quotePrefix="0" xfId="0">
      <alignment vertical="center" wrapText="1"/>
    </xf>
    <xf numFmtId="0" fontId="61" fillId="0" borderId="20" applyAlignment="1" pivotButton="0" quotePrefix="0" xfId="0">
      <alignment vertical="center" wrapText="1"/>
    </xf>
    <xf numFmtId="0" fontId="61" fillId="0" borderId="21" applyAlignment="1" pivotButton="0" quotePrefix="0" xfId="0">
      <alignment horizontal="center" vertical="center" textRotation="90" wrapText="1"/>
    </xf>
    <xf numFmtId="0" fontId="0" fillId="0" borderId="18" applyAlignment="1" pivotButton="0" quotePrefix="0" xfId="0">
      <alignment horizontal="center" vertical="center" textRotation="90" wrapText="1"/>
    </xf>
    <xf numFmtId="0" fontId="0" fillId="0" borderId="17" applyAlignment="1" pivotButton="0" quotePrefix="0" xfId="0">
      <alignment horizontal="center" vertical="center" textRotation="90" wrapText="1"/>
    </xf>
    <xf numFmtId="0" fontId="0" fillId="0" borderId="19" applyAlignment="1" pivotButton="0" quotePrefix="0" xfId="0">
      <alignment horizontal="center" vertical="center" textRotation="90" wrapText="1"/>
    </xf>
    <xf numFmtId="0" fontId="0" fillId="0" borderId="4" applyAlignment="1" pivotButton="0" quotePrefix="0" xfId="0">
      <alignment horizontal="center" vertical="center" textRotation="90" wrapText="1"/>
    </xf>
    <xf numFmtId="0" fontId="0" fillId="0" borderId="20" applyAlignment="1" pivotButton="0" quotePrefix="0" xfId="0">
      <alignment horizontal="center" vertical="center" textRotation="90" wrapText="1"/>
    </xf>
    <xf numFmtId="0" fontId="0" fillId="0" borderId="7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left" vertical="center" wrapText="1"/>
    </xf>
    <xf numFmtId="0" fontId="61" fillId="0" borderId="17" applyAlignment="1" pivotButton="0" quotePrefix="0" xfId="0">
      <alignment horizontal="left" vertical="center" wrapText="1"/>
    </xf>
    <xf numFmtId="0" fontId="61" fillId="0" borderId="19" applyAlignment="1" pivotButton="0" quotePrefix="0" xfId="0">
      <alignment horizontal="left" vertical="center" wrapText="1"/>
    </xf>
    <xf numFmtId="0" fontId="61" fillId="0" borderId="4" applyAlignment="1" pivotButton="0" quotePrefix="0" xfId="0">
      <alignment horizontal="left" vertical="center" wrapText="1"/>
    </xf>
    <xf numFmtId="0" fontId="61" fillId="0" borderId="20" applyAlignment="1" pivotButton="0" quotePrefix="0" xfId="0">
      <alignment horizontal="left" vertical="center" wrapText="1"/>
    </xf>
    <xf numFmtId="0" fontId="61" fillId="0" borderId="2" applyAlignment="1" pivotButton="0" quotePrefix="0" xfId="0">
      <alignment vertical="center" wrapText="1"/>
    </xf>
    <xf numFmtId="0" fontId="61" fillId="0" borderId="1" applyAlignment="1" pivotButton="0" quotePrefix="0" xfId="0">
      <alignment horizontal="center" vertical="center" textRotation="90" wrapText="1"/>
    </xf>
    <xf numFmtId="0" fontId="63" fillId="0" borderId="7" applyAlignment="1" pivotButton="0" quotePrefix="0" xfId="0">
      <alignment vertical="center" wrapText="1"/>
    </xf>
    <xf numFmtId="0" fontId="63" fillId="65" borderId="8" applyAlignment="1" pivotButton="0" quotePrefix="0" xfId="0">
      <alignment horizontal="center" vertical="center" wrapText="1"/>
    </xf>
    <xf numFmtId="0" fontId="8" fillId="65" borderId="1" applyAlignment="1" pivotButton="0" quotePrefix="0" xfId="0">
      <alignment horizontal="center" vertical="center" wrapText="1"/>
    </xf>
    <xf numFmtId="2" fontId="63" fillId="45" borderId="21" applyAlignment="1" pivotButton="0" quotePrefix="0" xfId="0">
      <alignment horizontal="left" vertical="center" wrapText="1"/>
    </xf>
    <xf numFmtId="0" fontId="61" fillId="45" borderId="3" pivotButton="0" quotePrefix="0" xfId="0"/>
    <xf numFmtId="0" fontId="61" fillId="45" borderId="1" pivotButton="0" quotePrefix="0" xfId="0"/>
    <xf numFmtId="0" fontId="0" fillId="45" borderId="1" pivotButton="0" quotePrefix="0" xfId="0"/>
    <xf numFmtId="0" fontId="0" fillId="45" borderId="6" pivotButton="0" quotePrefix="0" xfId="0"/>
    <xf numFmtId="0" fontId="0" fillId="58" borderId="12" applyAlignment="1" pivotButton="0" quotePrefix="0" xfId="0">
      <alignment horizontal="left" vertical="center" wrapText="1"/>
    </xf>
    <xf numFmtId="0" fontId="0" fillId="58" borderId="18" applyAlignment="1" pivotButton="0" quotePrefix="0" xfId="0">
      <alignment horizontal="left" vertical="center" wrapText="1"/>
    </xf>
    <xf numFmtId="0" fontId="63" fillId="58" borderId="10" applyAlignment="1" pivotButton="0" quotePrefix="0" xfId="0">
      <alignment horizontal="left" vertical="center" wrapText="1"/>
    </xf>
    <xf numFmtId="0" fontId="8" fillId="58" borderId="12" applyAlignment="1" pivotButton="0" quotePrefix="0" xfId="0">
      <alignment horizontal="left" vertical="center" wrapText="1"/>
    </xf>
    <xf numFmtId="0" fontId="8" fillId="58" borderId="18" applyAlignment="1" pivotButton="0" quotePrefix="0" xfId="0">
      <alignment horizontal="left" vertical="center" wrapText="1"/>
    </xf>
    <xf numFmtId="0" fontId="6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left" vertical="center"/>
    </xf>
    <xf numFmtId="0" fontId="0" fillId="0" borderId="18" applyAlignment="1" pivotButton="0" quotePrefix="0" xfId="0">
      <alignment horizontal="left" vertical="center"/>
    </xf>
    <xf numFmtId="0" fontId="63" fillId="58" borderId="10" pivotButton="0" quotePrefix="0" xfId="0"/>
    <xf numFmtId="3" fontId="61" fillId="0" borderId="6" applyAlignment="1" pivotButton="0" quotePrefix="0" xfId="99">
      <alignment vertical="center" wrapText="1"/>
    </xf>
    <xf numFmtId="0" fontId="8" fillId="58" borderId="12" applyAlignment="1" pivotButton="0" quotePrefix="0" xfId="0">
      <alignment vertical="center" wrapText="1"/>
    </xf>
    <xf numFmtId="0" fontId="8" fillId="58" borderId="18" applyAlignment="1" pivotButton="0" quotePrefix="0" xfId="0">
      <alignment vertical="center" wrapText="1"/>
    </xf>
    <xf numFmtId="0" fontId="0" fillId="58" borderId="12" applyAlignment="1" pivotButton="0" quotePrefix="0" xfId="0">
      <alignment vertical="center" wrapText="1"/>
    </xf>
    <xf numFmtId="0" fontId="0" fillId="58" borderId="18" applyAlignment="1" pivotButton="0" quotePrefix="0" xfId="0">
      <alignment vertical="center" wrapText="1"/>
    </xf>
    <xf numFmtId="0" fontId="63" fillId="59" borderId="12" applyAlignment="1" pivotButton="0" quotePrefix="0" xfId="0">
      <alignment horizontal="left" vertical="center" wrapText="1"/>
    </xf>
    <xf numFmtId="0" fontId="63" fillId="45" borderId="7" applyAlignment="1" pivotButton="0" quotePrefix="0" xfId="0">
      <alignment horizontal="center" vertical="center" wrapText="1"/>
    </xf>
    <xf numFmtId="0" fontId="63" fillId="45" borderId="8" applyAlignment="1" pivotButton="0" quotePrefix="0" xfId="0">
      <alignment horizontal="center" vertical="center" wrapText="1"/>
    </xf>
    <xf numFmtId="0" fontId="63" fillId="57" borderId="1" applyAlignment="1" pivotButton="0" quotePrefix="0" xfId="0">
      <alignment horizontal="left" vertical="center" wrapText="1"/>
    </xf>
    <xf numFmtId="0" fontId="0" fillId="57" borderId="1" applyAlignment="1" pivotButton="0" quotePrefix="0" xfId="0">
      <alignment wrapText="1"/>
    </xf>
    <xf numFmtId="0" fontId="63" fillId="61" borderId="21" applyAlignment="1" pivotButton="0" quotePrefix="0" xfId="0">
      <alignment horizontal="center" vertical="center" wrapText="1"/>
    </xf>
    <xf numFmtId="0" fontId="72" fillId="66" borderId="17" applyAlignment="1" pivotButton="0" quotePrefix="0" xfId="0">
      <alignment horizontal="center" vertical="center" wrapText="1"/>
    </xf>
    <xf numFmtId="0" fontId="72" fillId="59" borderId="21" applyAlignment="1" pivotButton="0" quotePrefix="0" xfId="0">
      <alignment horizontal="left" vertical="center" wrapText="1"/>
    </xf>
    <xf numFmtId="0" fontId="72" fillId="59" borderId="12" applyAlignment="1" pivotButton="0" quotePrefix="0" xfId="0">
      <alignment horizontal="left" vertical="center" wrapText="1"/>
    </xf>
    <xf numFmtId="0" fontId="61" fillId="66" borderId="4" pivotButton="0" quotePrefix="0" xfId="0"/>
    <xf numFmtId="0" fontId="0" fillId="66" borderId="1" pivotButton="0" quotePrefix="0" xfId="0"/>
    <xf numFmtId="0" fontId="0" fillId="66" borderId="6" pivotButton="0" quotePrefix="0" xfId="0"/>
    <xf numFmtId="0" fontId="72" fillId="59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63" fillId="66" borderId="7" applyAlignment="1" pivotButton="0" quotePrefix="0" xfId="0">
      <alignment horizontal="center" vertical="center" wrapText="1"/>
    </xf>
    <xf numFmtId="0" fontId="0" fillId="66" borderId="7" applyAlignment="1" pivotButton="0" quotePrefix="0" xfId="0">
      <alignment horizontal="center" vertical="center" wrapText="1"/>
    </xf>
    <xf numFmtId="0" fontId="63" fillId="8" borderId="21" applyAlignment="1" pivotButton="0" quotePrefix="0" xfId="0">
      <alignment vertical="center" wrapText="1"/>
    </xf>
    <xf numFmtId="0" fontId="0" fillId="8" borderId="12" applyAlignment="1" pivotButton="0" quotePrefix="0" xfId="0">
      <alignment vertical="center" wrapText="1"/>
    </xf>
    <xf numFmtId="0" fontId="0" fillId="8" borderId="18" applyAlignment="1" pivotButton="0" quotePrefix="0" xfId="0">
      <alignment vertical="center" wrapText="1"/>
    </xf>
    <xf numFmtId="0" fontId="63" fillId="8" borderId="10" pivotButton="0" quotePrefix="0" xfId="0"/>
    <xf numFmtId="0" fontId="0" fillId="58" borderId="4" pivotButton="0" quotePrefix="0" xfId="0"/>
    <xf numFmtId="0" fontId="0" fillId="0" borderId="1" applyAlignment="1" pivotButton="0" quotePrefix="0" xfId="0">
      <alignment horizontal="center" vertical="center" textRotation="90" wrapText="1"/>
    </xf>
    <xf numFmtId="0" fontId="61" fillId="0" borderId="12" applyAlignment="1" pivotButton="0" quotePrefix="0" xfId="0">
      <alignment horizontal="left" vertical="center" wrapText="1"/>
    </xf>
    <xf numFmtId="0" fontId="61" fillId="0" borderId="0" applyAlignment="1" pivotButton="0" quotePrefix="0" xfId="0">
      <alignment horizontal="left" vertical="center" wrapText="1"/>
    </xf>
    <xf numFmtId="0" fontId="61" fillId="0" borderId="5" applyAlignment="1" pivotButton="0" quotePrefix="0" xfId="0">
      <alignment horizontal="left" vertical="center" wrapText="1"/>
    </xf>
    <xf numFmtId="0" fontId="63" fillId="58" borderId="7" applyAlignment="1" pivotButton="0" quotePrefix="0" xfId="0">
      <alignment horizontal="center" vertical="center" wrapText="1"/>
    </xf>
    <xf numFmtId="0" fontId="63" fillId="58" borderId="8" applyAlignment="1" pivotButton="0" quotePrefix="0" xfId="0">
      <alignment horizontal="center" vertical="center" wrapText="1"/>
    </xf>
    <xf numFmtId="0" fontId="63" fillId="57" borderId="6" applyAlignment="1" pivotButton="0" quotePrefix="0" xfId="0">
      <alignment horizontal="center" vertical="center" wrapText="1"/>
    </xf>
    <xf numFmtId="0" fontId="8" fillId="57" borderId="7" applyAlignment="1" pivotButton="0" quotePrefix="0" xfId="0">
      <alignment horizontal="center" vertical="center" wrapText="1"/>
    </xf>
    <xf numFmtId="0" fontId="63" fillId="61" borderId="6" applyAlignment="1" pivotButton="0" quotePrefix="0" xfId="0">
      <alignment vertical="center"/>
    </xf>
    <xf numFmtId="0" fontId="63" fillId="61" borderId="7" applyAlignment="1" pivotButton="0" quotePrefix="0" xfId="0">
      <alignment vertical="center"/>
    </xf>
    <xf numFmtId="0" fontId="63" fillId="0" borderId="21" applyAlignment="1" pivotButton="0" quotePrefix="0" xfId="0">
      <alignment horizontal="left" vertical="center" wrapText="1"/>
    </xf>
    <xf numFmtId="0" fontId="0" fillId="0" borderId="12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0" borderId="17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0" borderId="19" applyAlignment="1" pivotButton="0" quotePrefix="0" xfId="0">
      <alignment horizontal="left" vertical="center" wrapText="1"/>
    </xf>
    <xf numFmtId="0" fontId="72" fillId="58" borderId="6" applyAlignment="1" pivotButton="0" quotePrefix="0" xfId="0">
      <alignment horizontal="center" vertical="center" wrapText="1"/>
    </xf>
    <xf numFmtId="0" fontId="72" fillId="58" borderId="7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3" fontId="63" fillId="59" borderId="6" applyAlignment="1" pivotButton="0" quotePrefix="0" xfId="99">
      <alignment horizontal="center" vertical="center" wrapText="1"/>
    </xf>
    <xf numFmtId="0" fontId="0" fillId="0" borderId="4" pivotButton="0" quotePrefix="0" xfId="0"/>
    <xf numFmtId="0" fontId="63" fillId="6" borderId="21" applyAlignment="1" pivotButton="0" quotePrefix="0" xfId="0">
      <alignment vertical="center" wrapText="1"/>
    </xf>
    <xf numFmtId="0" fontId="61" fillId="6" borderId="12" applyAlignment="1" pivotButton="0" quotePrefix="0" xfId="0">
      <alignment vertical="center" wrapText="1"/>
    </xf>
    <xf numFmtId="0" fontId="63" fillId="6" borderId="3" applyAlignment="1" pivotButton="0" quotePrefix="0" xfId="0">
      <alignment horizontal="left" vertical="center" wrapText="1"/>
    </xf>
    <xf numFmtId="0" fontId="61" fillId="6" borderId="1" applyAlignment="1" pivotButton="0" quotePrefix="0" xfId="0">
      <alignment horizontal="left" vertical="center" wrapText="1"/>
    </xf>
    <xf numFmtId="0" fontId="63" fillId="0" borderId="1" applyAlignment="1" pivotButton="0" quotePrefix="0" xfId="0">
      <alignment horizontal="center" vertical="center" textRotation="90" wrapText="1"/>
    </xf>
    <xf numFmtId="0" fontId="0" fillId="57" borderId="6" applyAlignment="1" pivotButton="0" quotePrefix="0" xfId="0">
      <alignment wrapText="1"/>
    </xf>
    <xf numFmtId="0" fontId="63" fillId="58" borderId="7" applyAlignment="1" pivotButton="0" quotePrefix="0" xfId="0">
      <alignment vertical="center" wrapText="1"/>
    </xf>
    <xf numFmtId="0" fontId="63" fillId="58" borderId="8" applyAlignment="1" pivotButton="0" quotePrefix="0" xfId="0">
      <alignment vertical="center" wrapText="1"/>
    </xf>
    <xf numFmtId="0" fontId="61" fillId="58" borderId="1" applyAlignment="1" pivotButton="0" quotePrefix="0" xfId="0">
      <alignment vertical="center" wrapText="1"/>
    </xf>
    <xf numFmtId="0" fontId="63" fillId="58" borderId="1" applyAlignment="1" pivotButton="0" quotePrefix="0" xfId="0">
      <alignment vertical="center" wrapText="1"/>
    </xf>
    <xf numFmtId="0" fontId="63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8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61" fillId="58" borderId="3" applyAlignment="1" pivotButton="0" quotePrefix="0" xfId="0">
      <alignment vertical="center"/>
    </xf>
    <xf numFmtId="0" fontId="0" fillId="58" borderId="1" applyAlignment="1" pivotButton="0" quotePrefix="0" xfId="0">
      <alignment vertical="center"/>
    </xf>
    <xf numFmtId="0" fontId="0" fillId="58" borderId="3" applyAlignment="1" pivotButton="0" quotePrefix="0" xfId="0">
      <alignment vertical="center"/>
    </xf>
    <xf numFmtId="0" fontId="63" fillId="61" borderId="6" applyAlignment="1" pivotButton="0" quotePrefix="0" xfId="0">
      <alignment vertical="center" wrapText="1"/>
    </xf>
    <xf numFmtId="0" fontId="63" fillId="61" borderId="7" applyAlignment="1" pivotButton="0" quotePrefix="0" xfId="0">
      <alignment vertical="center" wrapText="1"/>
    </xf>
    <xf numFmtId="0" fontId="63" fillId="61" borderId="8" applyAlignment="1" pivotButton="0" quotePrefix="0" xfId="0">
      <alignment vertical="center" wrapText="1"/>
    </xf>
    <xf numFmtId="0" fontId="63" fillId="58" borderId="3" applyAlignment="1" pivotButton="0" quotePrefix="0" xfId="0">
      <alignment vertical="center"/>
    </xf>
    <xf numFmtId="0" fontId="62" fillId="61" borderId="1" applyAlignment="1" pivotButton="0" quotePrefix="0" xfId="0">
      <alignment horizontal="center" vertical="center" wrapText="1"/>
    </xf>
    <xf numFmtId="0" fontId="0" fillId="61" borderId="1" applyAlignment="1" pivotButton="0" quotePrefix="0" xfId="0">
      <alignment horizontal="center" vertical="center" wrapText="1"/>
    </xf>
    <xf numFmtId="0" fontId="0" fillId="61" borderId="2" applyAlignment="1" pivotButton="0" quotePrefix="0" xfId="0">
      <alignment horizontal="center" vertical="center" wrapText="1"/>
    </xf>
    <xf numFmtId="0" fontId="61" fillId="61" borderId="3" pivotButton="0" quotePrefix="0" xfId="0"/>
    <xf numFmtId="0" fontId="0" fillId="61" borderId="1" pivotButton="0" quotePrefix="0" xfId="0"/>
    <xf numFmtId="0" fontId="0" fillId="61" borderId="6" pivotButton="0" quotePrefix="0" xfId="0"/>
    <xf numFmtId="0" fontId="63" fillId="61" borderId="8" applyAlignment="1" pivotButton="0" quotePrefix="0" xfId="0">
      <alignment horizontal="center" vertical="center" wrapText="1"/>
    </xf>
    <xf numFmtId="0" fontId="8" fillId="61" borderId="1" applyAlignment="1" pivotButton="0" quotePrefix="0" xfId="0">
      <alignment horizontal="center" vertical="center" wrapText="1"/>
    </xf>
    <xf numFmtId="0" fontId="61" fillId="66" borderId="21" applyAlignment="1" pivotButton="0" quotePrefix="0" xfId="0">
      <alignment horizontal="center" vertical="center" textRotation="90" wrapText="1"/>
    </xf>
    <xf numFmtId="0" fontId="0" fillId="66" borderId="18" applyAlignment="1" pivotButton="0" quotePrefix="0" xfId="0">
      <alignment horizontal="center" vertical="center" textRotation="90" wrapText="1"/>
    </xf>
    <xf numFmtId="0" fontId="0" fillId="66" borderId="17" applyAlignment="1" pivotButton="0" quotePrefix="0" xfId="0">
      <alignment horizontal="center" vertical="center" textRotation="90" wrapText="1"/>
    </xf>
    <xf numFmtId="0" fontId="0" fillId="66" borderId="19" applyAlignment="1" pivotButton="0" quotePrefix="0" xfId="0">
      <alignment horizontal="center" vertical="center" textRotation="90" wrapText="1"/>
    </xf>
    <xf numFmtId="0" fontId="0" fillId="66" borderId="17" pivotButton="0" quotePrefix="0" xfId="0"/>
    <xf numFmtId="0" fontId="0" fillId="66" borderId="19" pivotButton="0" quotePrefix="0" xfId="0"/>
    <xf numFmtId="0" fontId="0" fillId="66" borderId="4" pivotButton="0" quotePrefix="0" xfId="0"/>
    <xf numFmtId="0" fontId="0" fillId="66" borderId="20" pivotButton="0" quotePrefix="0" xfId="0"/>
    <xf numFmtId="0" fontId="63" fillId="57" borderId="1" applyAlignment="1" pivotButton="0" quotePrefix="0" xfId="0">
      <alignment horizontal="center" vertical="center" wrapText="1"/>
    </xf>
    <xf numFmtId="0" fontId="8" fillId="57" borderId="1" applyAlignment="1" pivotButton="0" quotePrefix="0" xfId="0">
      <alignment horizontal="center" vertical="center" wrapText="1"/>
    </xf>
    <xf numFmtId="0" fontId="0" fillId="58" borderId="7" applyAlignment="1" pivotButton="0" quotePrefix="0" xfId="0">
      <alignment vertical="center" wrapText="1"/>
    </xf>
    <xf numFmtId="0" fontId="64" fillId="9" borderId="6" applyAlignment="1" pivotButton="0" quotePrefix="0" xfId="0">
      <alignment vertical="center" wrapText="1"/>
    </xf>
    <xf numFmtId="0" fontId="36" fillId="9" borderId="7" applyAlignment="1" pivotButton="0" quotePrefix="0" xfId="0">
      <alignment vertical="center" wrapText="1"/>
    </xf>
    <xf numFmtId="0" fontId="36" fillId="9" borderId="8" applyAlignment="1" pivotButton="0" quotePrefix="0" xfId="0">
      <alignment vertical="center" wrapText="1"/>
    </xf>
    <xf numFmtId="0" fontId="63" fillId="45" borderId="21" applyAlignment="1" pivotButton="0" quotePrefix="0" xfId="0">
      <alignment horizontal="center" vertical="center" wrapText="1"/>
    </xf>
    <xf numFmtId="0" fontId="8" fillId="45" borderId="12" applyAlignment="1" pivotButton="0" quotePrefix="0" xfId="0">
      <alignment horizontal="center" vertical="center" wrapText="1"/>
    </xf>
    <xf numFmtId="0" fontId="0" fillId="45" borderId="3" pivotButton="0" quotePrefix="0" xfId="0"/>
    <xf numFmtId="0" fontId="61" fillId="44" borderId="1" applyAlignment="1" pivotButton="0" quotePrefix="0" xfId="0">
      <alignment horizontal="center" vertical="center" textRotation="90" wrapText="1"/>
    </xf>
    <xf numFmtId="0" fontId="0" fillId="44" borderId="1" applyAlignment="1" pivotButton="0" quotePrefix="0" xfId="0">
      <alignment horizontal="center" vertical="center" textRotation="90" wrapText="1"/>
    </xf>
    <xf numFmtId="0" fontId="61" fillId="67" borderId="1" applyAlignment="1" pivotButton="0" quotePrefix="0" xfId="0">
      <alignment horizontal="center" vertical="center" textRotation="90" wrapText="1"/>
    </xf>
    <xf numFmtId="0" fontId="0" fillId="67" borderId="1" applyAlignment="1" pivotButton="0" quotePrefix="0" xfId="0">
      <alignment horizontal="center" vertical="center" textRotation="90" wrapText="1"/>
    </xf>
    <xf numFmtId="0" fontId="61" fillId="42" borderId="21" applyAlignment="1" pivotButton="0" quotePrefix="0" xfId="0">
      <alignment horizontal="center" vertical="center" wrapText="1"/>
    </xf>
    <xf numFmtId="0" fontId="111" fillId="0" borderId="32" applyAlignment="1" pivotButton="0" quotePrefix="0" xfId="0">
      <alignment horizontal="center" vertical="center" wrapText="1"/>
    </xf>
    <xf numFmtId="0" fontId="111" fillId="0" borderId="31" applyAlignment="1" pivotButton="0" quotePrefix="0" xfId="0">
      <alignment horizontal="center" vertical="center" wrapText="1"/>
    </xf>
    <xf numFmtId="0" fontId="112" fillId="0" borderId="31" applyAlignment="1" pivotButton="0" quotePrefix="0" xfId="0">
      <alignment horizontal="center" vertical="center" wrapText="1"/>
    </xf>
    <xf numFmtId="0" fontId="112" fillId="0" borderId="31" applyAlignment="1" pivotButton="0" quotePrefix="0" xfId="0">
      <alignment wrapText="1"/>
    </xf>
    <xf numFmtId="0" fontId="112" fillId="0" borderId="9" applyAlignment="1" pivotButton="0" quotePrefix="0" xfId="0">
      <alignment wrapText="1"/>
    </xf>
    <xf numFmtId="0" fontId="112" fillId="0" borderId="13" applyAlignment="1" pivotButton="0" quotePrefix="0" xfId="0">
      <alignment horizontal="center" vertical="center" wrapText="1"/>
    </xf>
    <xf numFmtId="0" fontId="112" fillId="0" borderId="0" applyAlignment="1" pivotButton="0" quotePrefix="0" xfId="0">
      <alignment horizontal="center" vertical="center" wrapText="1"/>
    </xf>
    <xf numFmtId="0" fontId="112" fillId="0" borderId="0" applyAlignment="1" pivotButton="0" quotePrefix="0" xfId="0">
      <alignment wrapText="1"/>
    </xf>
    <xf numFmtId="0" fontId="112" fillId="0" borderId="11" applyAlignment="1" pivotButton="0" quotePrefix="0" xfId="0">
      <alignment wrapText="1"/>
    </xf>
    <xf numFmtId="0" fontId="112" fillId="0" borderId="14" applyAlignment="1" pivotButton="0" quotePrefix="0" xfId="0">
      <alignment horizontal="center" vertical="center" wrapText="1"/>
    </xf>
    <xf numFmtId="0" fontId="112" fillId="0" borderId="15" applyAlignment="1" pivotButton="0" quotePrefix="0" xfId="0">
      <alignment horizontal="center" vertical="center" wrapText="1"/>
    </xf>
    <xf numFmtId="0" fontId="112" fillId="0" borderId="15" applyAlignment="1" pivotButton="0" quotePrefix="0" xfId="0">
      <alignment wrapText="1"/>
    </xf>
    <xf numFmtId="0" fontId="112" fillId="0" borderId="16" applyAlignment="1" pivotButton="0" quotePrefix="0" xfId="0">
      <alignment wrapText="1"/>
    </xf>
    <xf numFmtId="0" fontId="7" fillId="56" borderId="81" applyAlignment="1" pivotButton="0" quotePrefix="0" xfId="0">
      <alignment horizontal="center" vertical="center" wrapText="1"/>
    </xf>
    <xf numFmtId="0" fontId="7" fillId="56" borderId="85" applyAlignment="1" pivotButton="0" quotePrefix="0" xfId="0">
      <alignment horizontal="center" vertical="center" wrapText="1"/>
    </xf>
    <xf numFmtId="0" fontId="7" fillId="56" borderId="87" applyAlignment="1" pivotButton="0" quotePrefix="0" xfId="0">
      <alignment horizontal="center" vertical="center" wrapText="1"/>
    </xf>
    <xf numFmtId="0" fontId="7" fillId="56" borderId="31" applyAlignment="1" pivotButton="0" quotePrefix="0" xfId="0">
      <alignment horizontal="center" vertical="center" wrapText="1"/>
    </xf>
    <xf numFmtId="0" fontId="7" fillId="56" borderId="0" applyAlignment="1" pivotButton="0" quotePrefix="0" xfId="0">
      <alignment horizontal="center" vertical="center" wrapText="1"/>
    </xf>
    <xf numFmtId="0" fontId="7" fillId="56" borderId="15" applyAlignment="1" pivotButton="0" quotePrefix="0" xfId="0">
      <alignment horizontal="center" vertical="center" wrapText="1"/>
    </xf>
    <xf numFmtId="0" fontId="7" fillId="56" borderId="82" applyAlignment="1" pivotButton="0" quotePrefix="0" xfId="0">
      <alignment horizontal="center" vertical="center" wrapText="1"/>
    </xf>
    <xf numFmtId="0" fontId="7" fillId="56" borderId="83" applyAlignment="1" pivotButton="0" quotePrefix="0" xfId="0">
      <alignment horizontal="center" vertical="center" wrapText="1"/>
    </xf>
    <xf numFmtId="0" fontId="7" fillId="56" borderId="84" applyAlignment="1" pivotButton="0" quotePrefix="0" xfId="0">
      <alignment horizontal="center" vertical="center" wrapText="1"/>
    </xf>
    <xf numFmtId="0" fontId="57" fillId="0" borderId="1" applyAlignment="1" pivotButton="0" quotePrefix="0" xfId="0">
      <alignment vertical="center" wrapText="1"/>
    </xf>
    <xf numFmtId="0" fontId="80" fillId="0" borderId="42" applyAlignment="1" pivotButton="0" quotePrefix="0" xfId="0">
      <alignment horizontal="center" vertical="center" wrapText="1"/>
    </xf>
    <xf numFmtId="0" fontId="81" fillId="0" borderId="43" applyAlignment="1" pivotButton="0" quotePrefix="0" xfId="0">
      <alignment wrapText="1"/>
    </xf>
    <xf numFmtId="0" fontId="81" fillId="0" borderId="44" applyAlignment="1" pivotButton="0" quotePrefix="0" xfId="0">
      <alignment wrapText="1"/>
    </xf>
    <xf numFmtId="0" fontId="81" fillId="0" borderId="46" applyAlignment="1" pivotButton="0" quotePrefix="0" xfId="0">
      <alignment wrapText="1"/>
    </xf>
    <xf numFmtId="0" fontId="81" fillId="0" borderId="0" applyAlignment="1" pivotButton="0" quotePrefix="0" xfId="0">
      <alignment wrapText="1"/>
    </xf>
    <xf numFmtId="0" fontId="81" fillId="0" borderId="47" applyAlignment="1" pivotButton="0" quotePrefix="0" xfId="0">
      <alignment wrapText="1"/>
    </xf>
    <xf numFmtId="0" fontId="81" fillId="0" borderId="48" applyAlignment="1" pivotButton="0" quotePrefix="0" xfId="0">
      <alignment wrapText="1"/>
    </xf>
    <xf numFmtId="0" fontId="81" fillId="0" borderId="49" applyAlignment="1" pivotButton="0" quotePrefix="0" xfId="0">
      <alignment wrapText="1"/>
    </xf>
    <xf numFmtId="0" fontId="81" fillId="0" borderId="50" applyAlignment="1" pivotButton="0" quotePrefix="0" xfId="0">
      <alignment wrapText="1"/>
    </xf>
    <xf numFmtId="0" fontId="78" fillId="56" borderId="1" applyAlignment="1" pivotButton="0" quotePrefix="0" xfId="0">
      <alignment horizontal="center" vertical="center" wrapText="1"/>
    </xf>
    <xf numFmtId="0" fontId="25" fillId="56" borderId="1" applyAlignment="1" pivotButton="0" quotePrefix="0" xfId="0">
      <alignment horizontal="center" vertical="center" wrapText="1"/>
    </xf>
    <xf numFmtId="0" fontId="60" fillId="57" borderId="21" pivotButton="0" quotePrefix="0" xfId="0"/>
    <xf numFmtId="0" fontId="3" fillId="0" borderId="12" pivotButton="0" quotePrefix="0" xfId="0"/>
    <xf numFmtId="0" fontId="3" fillId="0" borderId="18" pivotButton="0" quotePrefix="0" xfId="0"/>
    <xf numFmtId="0" fontId="57" fillId="57" borderId="3" pivotButton="0" quotePrefix="0" xfId="0"/>
    <xf numFmtId="0" fontId="57" fillId="57" borderId="1" pivotButton="0" quotePrefix="0" xfId="0"/>
    <xf numFmtId="0" fontId="60" fillId="58" borderId="21" pivotButton="0" quotePrefix="0" xfId="0"/>
    <xf numFmtId="0" fontId="57" fillId="58" borderId="3" pivotButton="0" quotePrefix="0" xfId="0"/>
    <xf numFmtId="0" fontId="57" fillId="58" borderId="1" pivotButton="0" quotePrefix="0" xfId="0"/>
    <xf numFmtId="0" fontId="57" fillId="58" borderId="6" pivotButton="0" quotePrefix="0" xfId="0"/>
    <xf numFmtId="0" fontId="60" fillId="58" borderId="8" applyAlignment="1" pivotButton="0" quotePrefix="0" xfId="0">
      <alignment horizontal="center" vertical="center" wrapText="1"/>
    </xf>
    <xf numFmtId="0" fontId="8" fillId="58" borderId="1" applyAlignment="1" pivotButton="0" quotePrefix="0" xfId="0">
      <alignment horizontal="center" vertical="center" wrapText="1"/>
    </xf>
    <xf numFmtId="0" fontId="60" fillId="58" borderId="1" applyAlignment="1" pivotButton="0" quotePrefix="0" xfId="0">
      <alignment horizontal="center" vertical="center" wrapText="1"/>
    </xf>
    <xf numFmtId="0" fontId="60" fillId="58" borderId="21" applyAlignment="1" pivotButton="0" quotePrefix="0" xfId="0">
      <alignment vertical="center" wrapText="1"/>
    </xf>
    <xf numFmtId="0" fontId="3" fillId="58" borderId="1" pivotButton="0" quotePrefix="0" xfId="0"/>
    <xf numFmtId="0" fontId="3" fillId="58" borderId="6" pivotButton="0" quotePrefix="0" xfId="0"/>
    <xf numFmtId="0" fontId="57" fillId="65" borderId="21" applyAlignment="1" pivotButton="0" quotePrefix="0" xfId="0">
      <alignment vertical="center" wrapText="1"/>
    </xf>
    <xf numFmtId="0" fontId="57" fillId="65" borderId="3" pivotButton="0" quotePrefix="0" xfId="0"/>
    <xf numFmtId="0" fontId="3" fillId="65" borderId="1" pivotButton="0" quotePrefix="0" xfId="0"/>
    <xf numFmtId="0" fontId="3" fillId="65" borderId="6" pivotButton="0" quotePrefix="0" xfId="0"/>
    <xf numFmtId="0" fontId="57" fillId="58" borderId="3" applyAlignment="1" pivotButton="0" quotePrefix="0" xfId="0">
      <alignment horizontal="left" vertical="center" wrapText="1"/>
    </xf>
    <xf numFmtId="0" fontId="3" fillId="58" borderId="1" applyAlignment="1" pivotButton="0" quotePrefix="0" xfId="0">
      <alignment horizontal="left" vertical="center" wrapText="1"/>
    </xf>
    <xf numFmtId="0" fontId="3" fillId="0" borderId="6" applyAlignment="1" pivotButton="0" quotePrefix="0" xfId="0">
      <alignment horizontal="left" vertical="center" wrapText="1"/>
    </xf>
    <xf numFmtId="0" fontId="57" fillId="58" borderId="21" applyAlignment="1" pivotButton="0" quotePrefix="0" xfId="0">
      <alignment vertical="center" wrapText="1"/>
    </xf>
    <xf numFmtId="0" fontId="3" fillId="58" borderId="6" applyAlignment="1" pivotButton="0" quotePrefix="0" xfId="0">
      <alignment horizontal="left" vertical="center" wrapText="1"/>
    </xf>
    <xf numFmtId="0" fontId="60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0" fillId="65" borderId="8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3" fontId="61" fillId="0" borderId="6" applyAlignment="1" applyProtection="1" pivotButton="0" quotePrefix="0" xfId="0">
      <alignment horizontal="right" vertical="center"/>
      <protection locked="0" hidden="0"/>
    </xf>
    <xf numFmtId="0" fontId="3" fillId="0" borderId="8" applyProtection="1" pivotButton="0" quotePrefix="0" xfId="0">
      <protection locked="0" hidden="0"/>
    </xf>
    <xf numFmtId="0" fontId="38" fillId="56" borderId="1" applyAlignment="1" pivotButton="0" quotePrefix="0" xfId="0">
      <alignment horizontal="center" vertical="center" wrapText="1"/>
    </xf>
    <xf numFmtId="0" fontId="7" fillId="56" borderId="1" applyAlignment="1" pivotButton="0" quotePrefix="0" xfId="0">
      <alignment horizontal="center" vertical="center" wrapText="1"/>
    </xf>
    <xf numFmtId="0" fontId="60" fillId="42" borderId="1" applyAlignment="1" pivotButton="0" quotePrefix="0" xfId="0">
      <alignment horizontal="center" vertical="center" wrapText="1"/>
    </xf>
    <xf numFmtId="3" fontId="57" fillId="42" borderId="6" applyAlignment="1" applyProtection="1" pivotButton="0" quotePrefix="0" xfId="0">
      <alignment horizontal="right" vertical="center"/>
      <protection locked="0" hidden="0"/>
    </xf>
    <xf numFmtId="3" fontId="3" fillId="0" borderId="8" applyProtection="1" pivotButton="0" quotePrefix="0" xfId="0">
      <protection locked="0" hidden="0"/>
    </xf>
    <xf numFmtId="0" fontId="78" fillId="56" borderId="21" applyAlignment="1" pivotButton="0" quotePrefix="0" xfId="0">
      <alignment horizontal="center" vertical="center" wrapText="1"/>
    </xf>
    <xf numFmtId="0" fontId="38" fillId="56" borderId="18" applyAlignment="1" pivotButton="0" quotePrefix="0" xfId="0">
      <alignment wrapText="1"/>
    </xf>
    <xf numFmtId="0" fontId="38" fillId="56" borderId="4" applyAlignment="1" pivotButton="0" quotePrefix="0" xfId="0">
      <alignment horizontal="center" vertical="center" wrapText="1"/>
    </xf>
    <xf numFmtId="0" fontId="38" fillId="56" borderId="20" applyAlignment="1" pivotButton="0" quotePrefix="0" xfId="0">
      <alignment wrapText="1"/>
    </xf>
    <xf numFmtId="0" fontId="78" fillId="56" borderId="6" applyAlignment="1" pivotButton="0" quotePrefix="0" xfId="0">
      <alignment horizontal="center" vertical="center" wrapText="1"/>
    </xf>
    <xf numFmtId="0" fontId="78" fillId="56" borderId="8" applyAlignment="1" pivotButton="0" quotePrefix="0" xfId="0">
      <alignment horizontal="center" vertical="center" wrapText="1"/>
    </xf>
    <xf numFmtId="0" fontId="60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72" fontId="60" fillId="58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78" fillId="56" borderId="2" applyAlignment="1" pivotButton="0" quotePrefix="0" xfId="0">
      <alignment horizontal="center" vertical="center" wrapText="1"/>
    </xf>
    <xf numFmtId="0" fontId="78" fillId="56" borderId="10" applyAlignment="1" pivotButton="0" quotePrefix="0" xfId="0">
      <alignment horizontal="center" vertical="center" wrapText="1"/>
    </xf>
    <xf numFmtId="0" fontId="78" fillId="56" borderId="3" applyAlignment="1" pivotButton="0" quotePrefix="0" xfId="0">
      <alignment horizontal="center" vertical="center" wrapText="1"/>
    </xf>
    <xf numFmtId="0" fontId="78" fillId="56" borderId="18" applyAlignment="1" pivotButton="0" quotePrefix="0" xfId="0">
      <alignment horizontal="center" vertical="center" wrapText="1"/>
    </xf>
    <xf numFmtId="0" fontId="78" fillId="56" borderId="17" applyAlignment="1" pivotButton="0" quotePrefix="0" xfId="0">
      <alignment horizontal="center" vertical="center" wrapText="1"/>
    </xf>
    <xf numFmtId="0" fontId="78" fillId="56" borderId="19" applyAlignment="1" pivotButton="0" quotePrefix="0" xfId="0">
      <alignment horizontal="center" vertical="center" wrapText="1"/>
    </xf>
    <xf numFmtId="0" fontId="78" fillId="56" borderId="4" applyAlignment="1" pivotButton="0" quotePrefix="0" xfId="0">
      <alignment horizontal="center" vertical="center" wrapText="1"/>
    </xf>
    <xf numFmtId="0" fontId="78" fillId="56" borderId="20" applyAlignment="1" pivotButton="0" quotePrefix="0" xfId="0">
      <alignment horizontal="center" vertical="center" wrapText="1"/>
    </xf>
    <xf numFmtId="0" fontId="78" fillId="56" borderId="7" applyAlignment="1" pivotButton="0" quotePrefix="0" xfId="0">
      <alignment horizontal="center" vertical="center" wrapText="1"/>
    </xf>
    <xf numFmtId="179" fontId="60" fillId="58" borderId="1" applyAlignment="1" pivotButton="0" quotePrefix="0" xfId="3">
      <alignment horizontal="center" vertical="center"/>
    </xf>
    <xf numFmtId="0" fontId="57" fillId="6" borderId="21" applyAlignment="1" pivotButton="0" quotePrefix="0" xfId="0">
      <alignment vertical="center" wrapText="1"/>
    </xf>
    <xf numFmtId="0" fontId="62" fillId="56" borderId="1" applyAlignment="1" pivotButton="0" quotePrefix="0" xfId="0">
      <alignment horizontal="center" vertical="center" wrapText="1"/>
    </xf>
    <xf numFmtId="0" fontId="57" fillId="57" borderId="21" applyAlignment="1" pivotButton="0" quotePrefix="0" xfId="0">
      <alignment vertical="center" wrapText="1"/>
    </xf>
    <xf numFmtId="0" fontId="111" fillId="0" borderId="13" applyAlignment="1" pivotButton="0" quotePrefix="0" xfId="0">
      <alignment horizontal="center" vertical="center" wrapText="1"/>
    </xf>
    <xf numFmtId="0" fontId="112" fillId="0" borderId="13" applyAlignment="1" pivotButton="0" quotePrefix="0" xfId="0">
      <alignment wrapText="1"/>
    </xf>
    <xf numFmtId="0" fontId="112" fillId="0" borderId="14" applyAlignment="1" pivotButton="0" quotePrefix="0" xfId="0">
      <alignment wrapText="1"/>
    </xf>
    <xf numFmtId="0" fontId="7" fillId="56" borderId="3" applyAlignment="1" pivotButton="0" quotePrefix="0" xfId="0">
      <alignment horizontal="center" vertical="center" wrapText="1"/>
    </xf>
    <xf numFmtId="0" fontId="38" fillId="56" borderId="3" applyAlignment="1" pivotButton="0" quotePrefix="0" xfId="0">
      <alignment horizontal="center" vertical="center" wrapText="1"/>
    </xf>
    <xf numFmtId="0" fontId="62" fillId="56" borderId="6" applyAlignment="1" pivotButton="0" quotePrefix="0" xfId="0">
      <alignment horizontal="center" vertical="center" wrapText="1"/>
    </xf>
    <xf numFmtId="0" fontId="7" fillId="56" borderId="6" applyAlignment="1" pivotButton="0" quotePrefix="0" xfId="0">
      <alignment horizontal="center" vertical="center" wrapText="1"/>
    </xf>
    <xf numFmtId="0" fontId="85" fillId="68" borderId="0" applyAlignment="1" pivotButton="0" quotePrefix="0" xfId="0">
      <alignment horizontal="center" vertical="center"/>
    </xf>
    <xf numFmtId="0" fontId="118" fillId="0" borderId="0" applyAlignment="1" pivotButton="0" quotePrefix="0" xfId="0">
      <alignment horizontal="center" vertical="center"/>
    </xf>
    <xf numFmtId="0" fontId="84" fillId="0" borderId="0" applyAlignment="1" pivotButton="0" quotePrefix="0" xfId="0">
      <alignment horizontal="center" vertical="center"/>
    </xf>
    <xf numFmtId="0" fontId="92" fillId="0" borderId="0" applyAlignment="1" pivotButton="0" quotePrefix="0" xfId="0">
      <alignment horizontal="center" vertical="center"/>
    </xf>
    <xf numFmtId="0" fontId="93" fillId="68" borderId="0" applyAlignment="1" pivotButton="0" quotePrefix="0" xfId="0">
      <alignment horizontal="center" vertical="center"/>
    </xf>
    <xf numFmtId="0" fontId="96" fillId="0" borderId="0" applyAlignment="1" pivotButton="0" quotePrefix="0" xfId="0">
      <alignment horizontal="center"/>
    </xf>
    <xf numFmtId="0" fontId="96" fillId="0" borderId="0" applyAlignment="1" pivotButton="0" quotePrefix="0" xfId="0">
      <alignment horizontal="center" vertical="center"/>
    </xf>
    <xf numFmtId="0" fontId="85" fillId="71" borderId="0" pivotButton="0" quotePrefix="0" xfId="0"/>
    <xf numFmtId="0" fontId="85" fillId="0" borderId="0" pivotButton="0" quotePrefix="0" xfId="0"/>
    <xf numFmtId="0" fontId="0" fillId="0" borderId="0" pivotButton="0" quotePrefix="0" xfId="0"/>
    <xf numFmtId="174" fontId="103" fillId="0" borderId="0" pivotButton="0" quotePrefix="0" xfId="0"/>
    <xf numFmtId="165" fontId="85" fillId="71" borderId="0" applyAlignment="1" pivotButton="0" quotePrefix="0" xfId="1">
      <alignment horizontal="center" vertical="center"/>
    </xf>
    <xf numFmtId="165" fontId="85" fillId="0" borderId="0" applyAlignment="1" pivotButton="0" quotePrefix="0" xfId="1">
      <alignment horizontal="right" vertical="center"/>
    </xf>
    <xf numFmtId="165" fontId="0" fillId="0" borderId="0" applyAlignment="1" pivotButton="0" quotePrefix="0" xfId="1">
      <alignment horizontal="right" vertical="center"/>
    </xf>
    <xf numFmtId="165" fontId="85" fillId="71" borderId="0" applyAlignment="1" pivotButton="0" quotePrefix="0" xfId="1">
      <alignment horizontal="right" vertical="center"/>
    </xf>
    <xf numFmtId="0" fontId="0" fillId="67" borderId="0" pivotButton="0" quotePrefix="0" xfId="0"/>
    <xf numFmtId="4" fontId="0" fillId="67" borderId="0" applyAlignment="1" pivotButton="0" quotePrefix="0" xfId="0">
      <alignment horizontal="right" vertical="center"/>
    </xf>
    <xf numFmtId="0" fontId="0" fillId="67" borderId="0" pivotButton="0" quotePrefix="0" xfId="0"/>
    <xf numFmtId="165" fontId="46" fillId="74" borderId="0" pivotButton="0" quotePrefix="0" xfId="1"/>
    <xf numFmtId="0" fontId="9" fillId="53" borderId="110" applyAlignment="1" pivotButton="0" quotePrefix="0" xfId="98">
      <alignment horizontal="center"/>
    </xf>
    <xf numFmtId="0" fontId="0" fillId="0" borderId="43" pivotButton="0" quotePrefix="0" xfId="0"/>
    <xf numFmtId="0" fontId="41" fillId="53" borderId="45" applyAlignment="1" pivotButton="0" quotePrefix="0" xfId="98">
      <alignment horizontal="center" vertical="center" wrapText="1"/>
    </xf>
    <xf numFmtId="0" fontId="0" fillId="0" borderId="44" pivotButton="0" quotePrefix="0" xfId="0"/>
    <xf numFmtId="0" fontId="45" fillId="55" borderId="45" applyAlignment="1" pivotButton="0" quotePrefix="0" xfId="98">
      <alignment horizontal="center" vertical="center"/>
    </xf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47" fillId="42" borderId="1" applyAlignment="1" pivotButton="0" quotePrefix="0" xfId="98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19" pivotButton="0" quotePrefix="0" xfId="0"/>
    <xf numFmtId="0" fontId="0" fillId="0" borderId="12" pivotButton="0" quotePrefix="0" xfId="0"/>
    <xf numFmtId="0" fontId="0" fillId="0" borderId="105" pivotButton="0" quotePrefix="0" xfId="0"/>
    <xf numFmtId="0" fontId="0" fillId="0" borderId="107" pivotButton="0" quotePrefix="0" xfId="0"/>
    <xf numFmtId="0" fontId="0" fillId="0" borderId="108" pivotButton="0" quotePrefix="0" xfId="0"/>
    <xf numFmtId="0" fontId="0" fillId="0" borderId="109" pivotButton="0" quotePrefix="0" xfId="0"/>
    <xf numFmtId="0" fontId="0" fillId="0" borderId="106" pivotButton="0" quotePrefix="0" xfId="0"/>
    <xf numFmtId="0" fontId="0" fillId="0" borderId="17" pivotButton="0" quotePrefix="0" xfId="0"/>
    <xf numFmtId="0" fontId="0" fillId="0" borderId="5" pivotButton="0" quotePrefix="0" xfId="0"/>
    <xf numFmtId="0" fontId="9" fillId="42" borderId="98" applyAlignment="1" pivotButton="0" quotePrefix="0" xfId="98">
      <alignment horizontal="left" vertical="top"/>
    </xf>
    <xf numFmtId="0" fontId="0" fillId="0" borderId="98" pivotButton="0" quotePrefix="0" xfId="0"/>
    <xf numFmtId="0" fontId="9" fillId="42" borderId="99" applyAlignment="1" pivotButton="0" quotePrefix="0" xfId="98">
      <alignment horizontal="left" vertical="top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104" pivotButton="0" quotePrefix="0" xfId="0"/>
    <xf numFmtId="43" fontId="46" fillId="0" borderId="0" pivotButton="0" quotePrefix="0" xfId="1"/>
    <xf numFmtId="0" fontId="47" fillId="0" borderId="1" applyAlignment="1" pivotButton="0" quotePrefix="0" xfId="98">
      <alignment horizontal="center" vertical="center" textRotation="90"/>
    </xf>
    <xf numFmtId="0" fontId="9" fillId="54" borderId="99" applyAlignment="1" pivotButton="0" quotePrefix="0" xfId="98">
      <alignment horizontal="left" vertical="center" wrapText="1"/>
    </xf>
    <xf numFmtId="3" fontId="9" fillId="54" borderId="99" applyAlignment="1" applyProtection="1" pivotButton="0" quotePrefix="0" xfId="98">
      <alignment horizontal="right" vertical="center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98" applyProtection="1" pivotButton="0" quotePrefix="0" xfId="0">
      <protection locked="1" hidden="1"/>
    </xf>
    <xf numFmtId="0" fontId="47" fillId="0" borderId="1" applyAlignment="1" pivotButton="0" quotePrefix="0" xfId="98">
      <alignment horizontal="center" vertical="center" textRotation="90" wrapText="1"/>
    </xf>
    <xf numFmtId="0" fontId="0" fillId="0" borderId="0" applyProtection="1" pivotButton="0" quotePrefix="0" xfId="0">
      <protection locked="1" hidden="1"/>
    </xf>
    <xf numFmtId="0" fontId="0" fillId="0" borderId="19" applyProtection="1" pivotButton="0" quotePrefix="0" xfId="0">
      <protection locked="1" hidden="1"/>
    </xf>
    <xf numFmtId="0" fontId="0" fillId="0" borderId="20" pivotButton="0" quotePrefix="0" xfId="0"/>
    <xf numFmtId="0" fontId="0" fillId="0" borderId="5" applyProtection="1" pivotButton="0" quotePrefix="0" xfId="0">
      <protection locked="1" hidden="1"/>
    </xf>
    <xf numFmtId="0" fontId="0" fillId="0" borderId="20" applyProtection="1" pivotButton="0" quotePrefix="0" xfId="0">
      <protection locked="1" hidden="1"/>
    </xf>
    <xf numFmtId="0" fontId="47" fillId="0" borderId="99" applyAlignment="1" pivotButton="0" quotePrefix="0" xfId="98">
      <alignment horizontal="center" vertical="center" textRotation="90" wrapText="1"/>
    </xf>
    <xf numFmtId="0" fontId="9" fillId="0" borderId="1" applyAlignment="1" pivotButton="0" quotePrefix="0" xfId="98">
      <alignment horizontal="center" vertical="center" textRotation="90" wrapText="1"/>
    </xf>
    <xf numFmtId="3" fontId="47" fillId="54" borderId="99" applyAlignment="1" applyProtection="1" pivotButton="0" quotePrefix="0" xfId="98">
      <alignment horizontal="right" vertical="center"/>
      <protection locked="1" hidden="1"/>
    </xf>
    <xf numFmtId="0" fontId="9" fillId="0" borderId="99" applyAlignment="1" pivotButton="0" quotePrefix="0" xfId="98">
      <alignment horizontal="left" vertical="center" wrapText="1"/>
    </xf>
    <xf numFmtId="3" fontId="9" fillId="0" borderId="99" applyAlignment="1" applyProtection="1" pivotButton="0" quotePrefix="0" xfId="98">
      <alignment horizontal="right" vertical="center"/>
      <protection locked="1" hidden="1"/>
    </xf>
    <xf numFmtId="165" fontId="46" fillId="0" borderId="0" pivotButton="0" quotePrefix="0" xfId="1"/>
    <xf numFmtId="0" fontId="0" fillId="0" borderId="0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165" fontId="46" fillId="74" borderId="0" pivotButton="0" quotePrefix="0" xfId="1"/>
    <xf numFmtId="165" fontId="46" fillId="0" borderId="0" pivotButton="0" quotePrefix="0" xfId="0"/>
    <xf numFmtId="0" fontId="9" fillId="54" borderId="99" applyAlignment="1" pivotButton="0" quotePrefix="0" xfId="98">
      <alignment horizontal="left" vertical="center"/>
    </xf>
    <xf numFmtId="0" fontId="9" fillId="0" borderId="99" applyAlignment="1" pivotButton="0" quotePrefix="0" xfId="98">
      <alignment vertical="center" wrapText="1"/>
    </xf>
    <xf numFmtId="0" fontId="9" fillId="54" borderId="98" applyAlignment="1" pivotButton="0" quotePrefix="0" xfId="98">
      <alignment horizontal="center"/>
    </xf>
    <xf numFmtId="0" fontId="47" fillId="54" borderId="103" applyAlignment="1" pivotButton="0" quotePrefix="0" xfId="98">
      <alignment horizontal="left" vertical="center" wrapText="1"/>
    </xf>
    <xf numFmtId="0" fontId="9" fillId="54" borderId="3" applyAlignment="1" pivotButton="0" quotePrefix="0" xfId="98">
      <alignment horizontal="center"/>
    </xf>
    <xf numFmtId="3" fontId="47" fillId="53" borderId="1" applyAlignment="1" pivotButton="0" quotePrefix="0" xfId="98">
      <alignment vertical="center"/>
    </xf>
    <xf numFmtId="0" fontId="0" fillId="0" borderId="73" pivotButton="0" quotePrefix="0" xfId="0"/>
    <xf numFmtId="0" fontId="0" fillId="0" borderId="74" pivotButton="0" quotePrefix="0" xfId="0"/>
    <xf numFmtId="0" fontId="55" fillId="53" borderId="10" applyAlignment="1" pivotButton="0" quotePrefix="0" xfId="98">
      <alignment horizontal="center" vertical="center" wrapText="1"/>
    </xf>
    <xf numFmtId="0" fontId="9" fillId="0" borderId="3" applyAlignment="1" pivotButton="0" quotePrefix="0" xfId="98">
      <alignment horizontal="center"/>
    </xf>
    <xf numFmtId="0" fontId="9" fillId="54" borderId="102" applyAlignment="1" pivotButton="0" quotePrefix="0" xfId="98">
      <alignment horizontal="center"/>
    </xf>
    <xf numFmtId="167" fontId="0" fillId="44" borderId="0" applyAlignment="1" pivotButton="0" quotePrefix="0" xfId="0">
      <alignment horizontal="center"/>
    </xf>
    <xf numFmtId="167" fontId="0" fillId="42" borderId="0" pivotButton="0" quotePrefix="0" xfId="99"/>
    <xf numFmtId="167" fontId="0" fillId="42" borderId="1" applyProtection="1" pivotButton="0" quotePrefix="0" xfId="99">
      <protection locked="0" hidden="0"/>
    </xf>
    <xf numFmtId="0" fontId="0" fillId="44" borderId="7" applyAlignment="1" pivotButton="0" quotePrefix="0" xfId="0">
      <alignment horizontal="center" vertical="center"/>
    </xf>
    <xf numFmtId="167" fontId="0" fillId="44" borderId="12" pivotButton="0" quotePrefix="0" xfId="99"/>
    <xf numFmtId="9" fontId="0" fillId="44" borderId="7" applyAlignment="1" pivotButton="0" quotePrefix="0" xfId="3">
      <alignment horizontal="center" vertical="center"/>
    </xf>
    <xf numFmtId="167" fontId="0" fillId="44" borderId="5" pivotButton="0" quotePrefix="0" xfId="99"/>
    <xf numFmtId="167" fontId="0" fillId="44" borderId="0" pivotButton="0" quotePrefix="0" xfId="99"/>
    <xf numFmtId="167" fontId="0" fillId="42" borderId="0" pivotButton="0" quotePrefix="0" xfId="0"/>
    <xf numFmtId="165" fontId="0" fillId="42" borderId="0" pivotButton="0" quotePrefix="0" xfId="1"/>
    <xf numFmtId="177" fontId="87" fillId="42" borderId="0" pivotButton="0" quotePrefix="0" xfId="1"/>
    <xf numFmtId="165" fontId="0" fillId="42" borderId="0" pivotButton="0" quotePrefix="0" xfId="0"/>
    <xf numFmtId="167" fontId="8" fillId="44" borderId="0" pivotButton="0" quotePrefix="0" xfId="0"/>
    <xf numFmtId="174" fontId="0" fillId="42" borderId="0" pivotButton="0" quotePrefix="0" xfId="0"/>
    <xf numFmtId="167" fontId="0" fillId="42" borderId="0" applyProtection="1" pivotButton="0" quotePrefix="0" xfId="106">
      <protection locked="0" hidden="0"/>
    </xf>
    <xf numFmtId="176" fontId="9" fillId="59" borderId="1" pivotButton="0" quotePrefix="0" xfId="106"/>
    <xf numFmtId="167" fontId="1" fillId="42" borderId="1" applyProtection="1" pivotButton="0" quotePrefix="0" xfId="106">
      <protection locked="0" hidden="0"/>
    </xf>
    <xf numFmtId="176" fontId="107" fillId="59" borderId="1" pivotButton="0" quotePrefix="0" xfId="106"/>
    <xf numFmtId="176" fontId="107" fillId="42" borderId="1" applyProtection="1" pivotButton="0" quotePrefix="0" xfId="106">
      <protection locked="0" hidden="0"/>
    </xf>
    <xf numFmtId="176" fontId="108" fillId="73" borderId="1" pivotButton="0" quotePrefix="0" xfId="106"/>
    <xf numFmtId="176" fontId="107" fillId="42" borderId="0" pivotButton="0" quotePrefix="0" xfId="106"/>
    <xf numFmtId="167" fontId="22" fillId="42" borderId="0" pivotButton="0" quotePrefix="0" xfId="106"/>
    <xf numFmtId="176" fontId="108" fillId="59" borderId="1" pivotButton="0" quotePrefix="0" xfId="106"/>
    <xf numFmtId="176" fontId="107" fillId="42" borderId="1" pivotButton="0" quotePrefix="0" xfId="106"/>
    <xf numFmtId="176" fontId="24" fillId="73" borderId="1" applyAlignment="1" pivotButton="0" quotePrefix="0" xfId="105">
      <alignment vertical="center"/>
    </xf>
  </cellXfs>
  <cellStyles count="113">
    <cellStyle name="Normal" xfId="0" builtinId="0"/>
    <cellStyle name="Millares" xfId="1" builtinId="3"/>
    <cellStyle name="Millares [0]" xfId="2" builtinId="6"/>
    <cellStyle name="Porcentaje" xfId="3" builtinId="5"/>
    <cellStyle name="Normal 3" xfId="4"/>
    <cellStyle name="Millares 2" xfId="5"/>
    <cellStyle name="Título" xfId="6" builtinId="15"/>
    <cellStyle name="Encabezado 1" xfId="7" builtinId="16"/>
    <cellStyle name="Título 2" xfId="8" builtinId="17"/>
    <cellStyle name="Título 3" xfId="9" builtinId="18"/>
    <cellStyle name="Encabezado 4" xfId="10" builtinId="19"/>
    <cellStyle name="Bueno" xfId="11" builtinId="26"/>
    <cellStyle name="Incorrecto" xfId="12" builtinId="27"/>
    <cellStyle name="Neutral" xfId="13" builtinId="28"/>
    <cellStyle name="Entrada" xfId="14" builtinId="20"/>
    <cellStyle name="Salida" xfId="15" builtinId="21"/>
    <cellStyle name="Cálculo" xfId="16" builtinId="22"/>
    <cellStyle name="Celda vinculada" xfId="17" builtinId="24"/>
    <cellStyle name="Celda de comprobación" xfId="18" builtinId="23"/>
    <cellStyle name="Texto de advertencia" xfId="19" builtinId="11"/>
    <cellStyle name="Texto explicativo" xfId="20" builtinId="53"/>
    <cellStyle name="Total" xfId="21" builtinId="25"/>
    <cellStyle name="Énfasis1" xfId="22" builtinId="29"/>
    <cellStyle name="20% - Énfasis1" xfId="23" builtinId="30"/>
    <cellStyle name="40% - Énfasis1" xfId="24" builtinId="31"/>
    <cellStyle name="60% - Énfasis1" xfId="25" builtinId="32"/>
    <cellStyle name="Énfasis2" xfId="26" builtinId="33"/>
    <cellStyle name="20% - Énfasis2" xfId="27" builtinId="34"/>
    <cellStyle name="40% - Énfasis2" xfId="28" builtinId="35"/>
    <cellStyle name="60% - Énfasis2" xfId="29" builtinId="36"/>
    <cellStyle name="Énfasis3" xfId="30" builtinId="37"/>
    <cellStyle name="20% - Énfasis3" xfId="31" builtinId="38"/>
    <cellStyle name="40% - Énfasis3" xfId="32" builtinId="39"/>
    <cellStyle name="60% - Énfasis3" xfId="33" builtinId="40"/>
    <cellStyle name="Énfasis4" xfId="34" builtinId="41"/>
    <cellStyle name="20% - Énfasis4" xfId="35" builtinId="42"/>
    <cellStyle name="40% - Énfasis4" xfId="36" builtinId="43"/>
    <cellStyle name="60% - Énfasis4" xfId="37" builtinId="44"/>
    <cellStyle name="Énfasis5" xfId="38" builtinId="45"/>
    <cellStyle name="20% - Énfasis5" xfId="39" builtinId="46"/>
    <cellStyle name="40% - Énfasis5" xfId="40" builtinId="47"/>
    <cellStyle name="60% - Énfasis5" xfId="41" builtinId="48"/>
    <cellStyle name="Énfasis6" xfId="42" builtinId="49"/>
    <cellStyle name="20% - Énfasis6" xfId="43" builtinId="50"/>
    <cellStyle name="40% - Énfasis6" xfId="44" builtinId="51"/>
    <cellStyle name="60% - Énfasis6" xfId="45" builtinId="52"/>
    <cellStyle name="Normal 2" xfId="46"/>
    <cellStyle name="Notas 2" xfId="47"/>
    <cellStyle name="Notas 3" xfId="48"/>
    <cellStyle name="20% - Énfasis1 2" xfId="49"/>
    <cellStyle name="40% - Énfasis1 2" xfId="50"/>
    <cellStyle name="20% - Énfasis2 2" xfId="51"/>
    <cellStyle name="40% - Énfasis2 2" xfId="52"/>
    <cellStyle name="20% - Énfasis3 2" xfId="53"/>
    <cellStyle name="40% - Énfasis3 2" xfId="54"/>
    <cellStyle name="20% - Énfasis4 2" xfId="55"/>
    <cellStyle name="40% - Énfasis4 2" xfId="56"/>
    <cellStyle name="20% - Énfasis5 2" xfId="57"/>
    <cellStyle name="40% - Énfasis5 2" xfId="58"/>
    <cellStyle name="20% - Énfasis6 2" xfId="59"/>
    <cellStyle name="40% - Énfasis6 2" xfId="60"/>
    <cellStyle name="Notas" xfId="61" builtinId="10"/>
    <cellStyle name="Bueno 2" xfId="62"/>
    <cellStyle name="Incorrecto 2" xfId="63"/>
    <cellStyle name="Neutral 2" xfId="64"/>
    <cellStyle name="Entrada 2" xfId="65"/>
    <cellStyle name="Salida 2" xfId="66"/>
    <cellStyle name="Cálculo 2" xfId="67"/>
    <cellStyle name="Celda vinculada 2" xfId="68"/>
    <cellStyle name="Celda de comprobación 2" xfId="69"/>
    <cellStyle name="Texto de advertencia 2" xfId="70"/>
    <cellStyle name="Texto explicativo 2" xfId="71"/>
    <cellStyle name="Total 2" xfId="72"/>
    <cellStyle name="Énfasis1 2" xfId="73"/>
    <cellStyle name="20% - Énfasis1 3" xfId="74"/>
    <cellStyle name="40% - Énfasis1 3" xfId="75"/>
    <cellStyle name="60% - Énfasis1 2" xfId="76"/>
    <cellStyle name="Énfasis2 2" xfId="77"/>
    <cellStyle name="20% - Énfasis2 3" xfId="78"/>
    <cellStyle name="40% - Énfasis2 3" xfId="79"/>
    <cellStyle name="60% - Énfasis2 2" xfId="80"/>
    <cellStyle name="Énfasis3 2" xfId="81"/>
    <cellStyle name="20% - Énfasis3 3" xfId="82"/>
    <cellStyle name="40% - Énfasis3 3" xfId="83"/>
    <cellStyle name="60% - Énfasis3 2" xfId="84"/>
    <cellStyle name="Énfasis4 2" xfId="85"/>
    <cellStyle name="20% - Énfasis4 3" xfId="86"/>
    <cellStyle name="40% - Énfasis4 3" xfId="87"/>
    <cellStyle name="60% - Énfasis4 2" xfId="88"/>
    <cellStyle name="Énfasis5 2" xfId="89"/>
    <cellStyle name="20% - Énfasis5 3" xfId="90"/>
    <cellStyle name="40% - Énfasis5 3" xfId="91"/>
    <cellStyle name="60% - Énfasis5 2" xfId="92"/>
    <cellStyle name="Énfasis6 2" xfId="93"/>
    <cellStyle name="20% - Énfasis6 3" xfId="94"/>
    <cellStyle name="40% - Énfasis6 3" xfId="95"/>
    <cellStyle name="60% - Énfasis6 2" xfId="96"/>
    <cellStyle name="Millares [0] 2" xfId="97"/>
    <cellStyle name="Normal 4" xfId="98"/>
    <cellStyle name="Millares 3" xfId="99"/>
    <cellStyle name="Millares [0] 3" xfId="100"/>
    <cellStyle name="Normal 3 2" xfId="101"/>
    <cellStyle name="Normal 2 2 3" xfId="102"/>
    <cellStyle name="Normal 5" xfId="103"/>
    <cellStyle name="Normal 3 3" xfId="104"/>
    <cellStyle name="Normal 7" xfId="105"/>
    <cellStyle name="Millares 4" xfId="106"/>
    <cellStyle name="Millares 5" xfId="107"/>
    <cellStyle name="Normal 8" xfId="108"/>
    <cellStyle name="Hipervínculo" xfId="109" builtinId="8"/>
    <cellStyle name="Millares 3 2" xfId="110"/>
    <cellStyle name="Normal 6" xfId="111"/>
    <cellStyle name="Millares 6" xfId="112"/>
  </cellStyles>
  <dxfs count="230"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-* #,##0.00_-;\-* #,##0.00_-;_-* &quot;-&quot;??_-;_-@_-"/>
    </dxf>
    <dxf>
      <numFmt numFmtId="0" formatCode="General"/>
    </dxf>
    <dxf>
      <numFmt numFmtId="0" formatCode="General"/>
    </dxf>
    <dxf>
      <numFmt numFmtId="0" formatCode="General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70" formatCode="_-* #,##0_-;\-* #,##0_-;_-* &quot;-&quot;??_-;_-@_-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70" formatCode="_-* #,##0_-;\-* #,##0_-;_-* &quot;-&quot;??_-;_-@_-"/>
    </dxf>
    <dxf>
      <numFmt numFmtId="0" formatCode="General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70" formatCode="_-* #,##0_-;\-* #,##0_-;_-* &quot;-&quot;??_-;_-@_-"/>
    </dxf>
    <dxf>
      <numFmt numFmtId="0" formatCode="General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70" formatCode="_-* #,##0_-;\-* #,##0_-;_-* &quot;-&quot;??_-;_-@_-"/>
    </dxf>
    <dxf>
      <numFmt numFmtId="0" formatCode="General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70" formatCode="_-* #,##0_-;\-* #,##0_-;_-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_-* #,##0_-;\-* #,##0_-;_-* &quot;-&quot;??_-;_-@_-"/>
    </dxf>
    <dxf>
      <numFmt numFmtId="170" formatCode="_-* #,##0_-;\-* #,##0_-;_-* &quot;-&quot;??_-;_-@_-"/>
    </dxf>
    <dxf>
      <numFmt numFmtId="170" formatCode="_-* #,##0_-;\-* #,##0_-;_-* &quot;-&quot;??_-;_-@_-"/>
    </dxf>
    <dxf>
      <numFmt numFmtId="170" formatCode="_-* #,##0_-;\-* #,##0_-;_-* &quot;-&quot;??_-;_-@_-"/>
    </dxf>
    <dxf>
      <numFmt numFmtId="170" formatCode="_-* #,##0_-;\-* #,##0_-;_-* &quot;-&quot;??_-;_-@_-"/>
    </dxf>
    <dxf>
      <numFmt numFmtId="170" formatCode="_-* #,##0_-;\-* #,##0_-;_-* &quot;-&quot;??_-;_-@_-"/>
    </dxf>
    <dxf>
      <numFmt numFmtId="170" formatCode="_-* #,##0_-;\-* #,##0_-;_-* &quot;-&quot;??_-;_-@_-"/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2060"/>
    <outlinePr summaryBelow="1" summaryRight="1"/>
    <pageSetUpPr/>
  </sheetPr>
  <dimension ref="A1:AN69"/>
  <sheetViews>
    <sheetView showGridLines="0" tabSelected="1" topLeftCell="A25" workbookViewId="0">
      <selection activeCell="L32" sqref="L32:Q32"/>
    </sheetView>
  </sheetViews>
  <sheetFormatPr baseColWidth="10" defaultRowHeight="14.4"/>
  <cols>
    <col width="5.33203125" customWidth="1" style="1506" min="1" max="5"/>
    <col width="6.6640625" customWidth="1" style="1506" min="6" max="6"/>
    <col width="5.33203125" customWidth="1" style="1506" min="7" max="7"/>
    <col width="6.33203125" customWidth="1" style="1506" min="8" max="8"/>
    <col width="5.33203125" customWidth="1" style="1506" min="9" max="10"/>
    <col width="4.6640625" customWidth="1" style="1506" min="11" max="11"/>
    <col width="3" customWidth="1" style="1506" min="12" max="17"/>
    <col width="4.6640625" customWidth="1" style="1506" min="18" max="19"/>
    <col width="5" customWidth="1" style="1506" min="20" max="25"/>
    <col width="9.44140625" customWidth="1" style="1506" min="26" max="27"/>
    <col width="5" customWidth="1" style="1506" min="28" max="28"/>
    <col width="3" customWidth="1" style="1506" min="29" max="34"/>
    <col width="14.33203125" customWidth="1" style="1506" min="36" max="36"/>
    <col width="14.5546875" bestFit="1" customWidth="1" style="1506" min="37" max="37"/>
    <col width="14.44140625" bestFit="1" customWidth="1" style="1506" min="38" max="38"/>
    <col width="13.44140625" bestFit="1" customWidth="1" style="1506" min="39" max="39"/>
  </cols>
  <sheetData>
    <row r="1" ht="10.5" customFormat="1" customHeight="1" s="56">
      <c r="A1" s="1516" t="n"/>
      <c r="B1" s="1517" t="n"/>
      <c r="C1" s="1517" t="n"/>
      <c r="D1" s="1517" t="n"/>
      <c r="E1" s="1517" t="n"/>
      <c r="F1" s="1517" t="n"/>
      <c r="G1" s="1518" t="inlineStr">
        <is>
          <t>Declaración de Renta y Complementario o de Ingresos y Patrimonio para Personas Jurídicas y Asimiladas y Personas Naturales y Asimiladas no Residentes y Sucesiones Ilíquidas de Causantes no Residentes</t>
        </is>
      </c>
      <c r="H1" s="1517" t="n"/>
      <c r="I1" s="1517" t="n"/>
      <c r="J1" s="1517" t="n"/>
      <c r="K1" s="1517" t="n"/>
      <c r="L1" s="1517" t="n"/>
      <c r="M1" s="1517" t="n"/>
      <c r="N1" s="1517" t="n"/>
      <c r="O1" s="1517" t="n"/>
      <c r="P1" s="1517" t="n"/>
      <c r="Q1" s="1517" t="n"/>
      <c r="R1" s="1517" t="n"/>
      <c r="S1" s="1517" t="n"/>
      <c r="T1" s="1517" t="n"/>
      <c r="U1" s="1517" t="n"/>
      <c r="V1" s="1517" t="n"/>
      <c r="W1" s="1519" t="n"/>
      <c r="X1" s="845" t="inlineStr">
        <is>
          <t>Privada</t>
        </is>
      </c>
      <c r="Y1" s="1517" t="n"/>
      <c r="Z1" s="1517" t="n"/>
      <c r="AA1" s="1517" t="n"/>
      <c r="AB1" s="1517" t="n"/>
      <c r="AC1" s="1519" t="n"/>
      <c r="AD1" s="1520" t="n">
        <v>110</v>
      </c>
      <c r="AE1" s="1517" t="n"/>
      <c r="AF1" s="1517" t="n"/>
      <c r="AG1" s="1517" t="n"/>
      <c r="AH1" s="1519" t="n"/>
    </row>
    <row r="2" ht="10.5" customFormat="1" customHeight="1" s="56">
      <c r="A2" s="1521" t="n"/>
      <c r="G2" s="1521" t="n"/>
      <c r="W2" s="1522" t="n"/>
      <c r="X2" s="1521" t="n"/>
      <c r="AC2" s="1522" t="n"/>
      <c r="AD2" s="1521" t="n"/>
      <c r="AH2" s="1522" t="n"/>
    </row>
    <row r="3" ht="10.5" customFormat="1" customHeight="1" s="56">
      <c r="A3" s="1521" t="n"/>
      <c r="G3" s="1521" t="n"/>
      <c r="W3" s="1522" t="n"/>
      <c r="X3" s="1521" t="n"/>
      <c r="AC3" s="1522" t="n"/>
      <c r="AD3" s="1521" t="n"/>
      <c r="AH3" s="1522" t="n"/>
    </row>
    <row r="4" ht="10.5" customFormat="1" customHeight="1" s="56">
      <c r="A4" s="1523" t="n"/>
      <c r="B4" s="1524" t="n"/>
      <c r="C4" s="1524" t="n"/>
      <c r="D4" s="1524" t="n"/>
      <c r="E4" s="1524" t="n"/>
      <c r="F4" s="1524" t="n"/>
      <c r="G4" s="1523" t="n"/>
      <c r="H4" s="1524" t="n"/>
      <c r="I4" s="1524" t="n"/>
      <c r="J4" s="1524" t="n"/>
      <c r="K4" s="1524" t="n"/>
      <c r="L4" s="1524" t="n"/>
      <c r="M4" s="1524" t="n"/>
      <c r="N4" s="1524" t="n"/>
      <c r="O4" s="1524" t="n"/>
      <c r="P4" s="1524" t="n"/>
      <c r="Q4" s="1524" t="n"/>
      <c r="R4" s="1524" t="n"/>
      <c r="S4" s="1524" t="n"/>
      <c r="T4" s="1524" t="n"/>
      <c r="U4" s="1524" t="n"/>
      <c r="V4" s="1524" t="n"/>
      <c r="W4" s="1525" t="n"/>
      <c r="X4" s="1523" t="n"/>
      <c r="Y4" s="1524" t="n"/>
      <c r="Z4" s="1524" t="n"/>
      <c r="AA4" s="1524" t="n"/>
      <c r="AB4" s="1524" t="n"/>
      <c r="AC4" s="1525" t="n"/>
      <c r="AD4" s="1523" t="n"/>
      <c r="AE4" s="1524" t="n"/>
      <c r="AF4" s="1524" t="n"/>
      <c r="AG4" s="1524" t="n"/>
      <c r="AH4" s="1525" t="n"/>
    </row>
    <row r="5" ht="10.5" customFormat="1" customHeight="1" s="56">
      <c r="A5" s="856" t="n"/>
      <c r="P5" s="57" t="n"/>
      <c r="Q5" s="58" t="n"/>
      <c r="R5" s="58" t="n"/>
      <c r="S5" s="58" t="n"/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58" t="n"/>
      <c r="AD5" s="58" t="n"/>
      <c r="AE5" s="58" t="n"/>
      <c r="AF5" s="58" t="n"/>
      <c r="AG5" s="58" t="n"/>
      <c r="AH5" s="59" t="n"/>
    </row>
    <row r="6" ht="10.5" customFormat="1" customHeight="1" s="56">
      <c r="A6" s="60" t="n"/>
      <c r="B6" s="858" t="inlineStr">
        <is>
          <t>1. Año</t>
        </is>
      </c>
      <c r="D6" s="1526" t="n">
        <v>2025</v>
      </c>
      <c r="E6" s="1527" t="n"/>
      <c r="F6" s="1528" t="n"/>
      <c r="G6" s="857" t="n"/>
      <c r="P6" s="862" t="inlineStr">
        <is>
          <t>4. Número de formulario</t>
        </is>
      </c>
      <c r="U6" s="864" t="n"/>
      <c r="AC6" s="866" t="n"/>
      <c r="AH6" s="1529" t="n"/>
    </row>
    <row r="7" ht="10.5" customFormat="1" customHeight="1" s="56">
      <c r="A7" s="61" t="n"/>
      <c r="B7" s="61" t="n"/>
      <c r="C7" s="61" t="n"/>
      <c r="D7" s="857" t="n"/>
      <c r="G7" s="61" t="n"/>
      <c r="H7" s="61" t="n"/>
      <c r="I7" s="61" t="n"/>
      <c r="J7" s="61" t="n"/>
      <c r="K7" s="61" t="n"/>
      <c r="L7" s="61" t="n"/>
      <c r="M7" s="61" t="n"/>
      <c r="N7" s="61" t="n"/>
      <c r="O7" s="61" t="n"/>
      <c r="P7" s="62" t="n"/>
      <c r="Q7" s="63" t="n"/>
      <c r="R7" s="63" t="n"/>
      <c r="S7" s="833" t="n"/>
      <c r="V7" s="63" t="n"/>
      <c r="W7" s="63" t="n"/>
      <c r="X7" s="63" t="n"/>
      <c r="Y7" s="63" t="n"/>
      <c r="Z7" s="63" t="n"/>
      <c r="AA7" s="63" t="n"/>
      <c r="AB7" s="63" t="n"/>
      <c r="AC7" s="63" t="n"/>
      <c r="AD7" s="63" t="n"/>
      <c r="AE7" s="63" t="n"/>
      <c r="AF7" s="833" t="n"/>
      <c r="AH7" s="64" t="n"/>
    </row>
    <row r="8" ht="3" customFormat="1" customHeight="1" s="56">
      <c r="A8" s="869" t="inlineStr">
        <is>
          <t>Espacio reservado para la DIAN</t>
        </is>
      </c>
      <c r="B8" s="1530" t="n"/>
      <c r="C8" s="1530" t="n"/>
      <c r="D8" s="1530" t="n"/>
      <c r="E8" s="1530" t="n"/>
      <c r="F8" s="1530" t="n"/>
      <c r="G8" s="1530" t="n"/>
      <c r="H8" s="1530" t="n"/>
      <c r="I8" s="1530" t="n"/>
      <c r="J8" s="1530" t="n"/>
      <c r="K8" s="1530" t="n"/>
      <c r="L8" s="1530" t="n"/>
      <c r="M8" s="1530" t="n"/>
      <c r="N8" s="1530" t="n"/>
      <c r="O8" s="1531" t="n"/>
      <c r="P8" s="65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  <c r="AE8" s="66" t="n"/>
      <c r="AF8" s="875" t="n"/>
      <c r="AH8" s="67" t="n"/>
    </row>
    <row r="9" ht="3" customFormat="1" customHeight="1" s="56">
      <c r="A9" s="1532" t="n"/>
      <c r="B9" s="1533" t="n"/>
      <c r="C9" s="1533" t="n"/>
      <c r="D9" s="1533" t="n"/>
      <c r="E9" s="1533" t="n"/>
      <c r="F9" s="1533" t="n"/>
      <c r="G9" s="1533" t="n"/>
      <c r="H9" s="1533" t="n"/>
      <c r="I9" s="1533" t="n"/>
      <c r="J9" s="1533" t="n"/>
      <c r="K9" s="1533" t="n"/>
      <c r="L9" s="1533" t="n"/>
      <c r="M9" s="1533" t="n"/>
      <c r="N9" s="1533" t="n"/>
      <c r="O9" s="1534" t="n"/>
      <c r="P9" s="876" t="inlineStr">
        <is>
          <t>Simulación a partir del Reporte
de Conciliación Fiscal, Formato 2516</t>
        </is>
      </c>
      <c r="AH9" s="1535" t="n"/>
    </row>
    <row r="10" ht="3" customFormat="1" customHeight="1" s="56">
      <c r="A10" s="887" t="inlineStr">
        <is>
          <t xml:space="preserve">
POR UNA COLOMBIA MÁS HONESTA
</t>
        </is>
      </c>
      <c r="K10" s="890" t="n"/>
      <c r="P10" s="1536" t="n"/>
      <c r="AH10" s="1535" t="n"/>
    </row>
    <row r="11" ht="3" customFormat="1" customHeight="1" s="56">
      <c r="A11" s="1536" t="n"/>
      <c r="P11" s="1536" t="n"/>
      <c r="AH11" s="1535" t="n"/>
    </row>
    <row r="12" ht="3" customFormat="1" customHeight="1" s="56">
      <c r="A12" s="1536" t="n"/>
      <c r="P12" s="1536" t="n"/>
      <c r="AH12" s="1535" t="n"/>
    </row>
    <row r="13" ht="3" customFormat="1" customHeight="1" s="56">
      <c r="A13" s="1536" t="n"/>
      <c r="P13" s="1536" t="n"/>
      <c r="AH13" s="1535" t="n"/>
    </row>
    <row r="14" ht="3" customFormat="1" customHeight="1" s="56">
      <c r="A14" s="1341" t="n"/>
      <c r="B14" s="1537" t="n"/>
      <c r="C14" s="1537" t="n"/>
      <c r="D14" s="1537" t="n"/>
      <c r="E14" s="1537" t="n"/>
      <c r="F14" s="1537" t="n"/>
      <c r="G14" s="1537" t="n"/>
      <c r="H14" s="1537" t="n"/>
      <c r="I14" s="1537" t="n"/>
      <c r="J14" s="1537" t="n"/>
      <c r="K14" s="1537" t="n"/>
      <c r="L14" s="1537" t="n"/>
      <c r="M14" s="1537" t="n"/>
      <c r="N14" s="1537" t="n"/>
      <c r="O14" s="1537" t="n"/>
      <c r="P14" s="1532" t="n"/>
      <c r="Q14" s="1533" t="n"/>
      <c r="R14" s="1533" t="n"/>
      <c r="S14" s="1533" t="n"/>
      <c r="T14" s="1533" t="n"/>
      <c r="U14" s="1533" t="n"/>
      <c r="V14" s="1533" t="n"/>
      <c r="W14" s="1533" t="n"/>
      <c r="X14" s="1533" t="n"/>
      <c r="Y14" s="1533" t="n"/>
      <c r="Z14" s="1533" t="n"/>
      <c r="AA14" s="1533" t="n"/>
      <c r="AB14" s="1533" t="n"/>
      <c r="AC14" s="1533" t="n"/>
      <c r="AD14" s="1533" t="n"/>
      <c r="AE14" s="1533" t="n"/>
      <c r="AF14" s="1533" t="n"/>
      <c r="AG14" s="1533" t="n"/>
      <c r="AH14" s="1534" t="n"/>
    </row>
    <row r="15" ht="13.8" customFormat="1" customHeight="1" s="56">
      <c r="A15" s="900" t="inlineStr">
        <is>
          <t>Datos Generales</t>
        </is>
      </c>
      <c r="B15" s="1538" t="inlineStr">
        <is>
          <t>5. No. de Identificación Tributaria</t>
        </is>
      </c>
      <c r="C15" s="1530" t="n"/>
      <c r="D15" s="1530" t="n"/>
      <c r="E15" s="1530" t="n"/>
      <c r="F15" s="1530" t="n"/>
      <c r="G15" s="1539" t="n"/>
      <c r="H15" s="903" t="inlineStr">
        <is>
          <t>6. DV</t>
        </is>
      </c>
      <c r="I15" s="1540" t="inlineStr">
        <is>
          <t>7. Primer apellido</t>
        </is>
      </c>
      <c r="J15" s="1530" t="n"/>
      <c r="K15" s="1530" t="n"/>
      <c r="L15" s="1530" t="n"/>
      <c r="M15" s="1530" t="n"/>
      <c r="N15" s="1530" t="n"/>
      <c r="O15" s="1539" t="n"/>
      <c r="P15" s="1540" t="inlineStr">
        <is>
          <t>8. Segundo apellido</t>
        </is>
      </c>
      <c r="Q15" s="1530" t="n"/>
      <c r="R15" s="1530" t="n"/>
      <c r="S15" s="1530" t="n"/>
      <c r="T15" s="1530" t="n"/>
      <c r="U15" s="1530" t="n"/>
      <c r="V15" s="1539" t="n"/>
      <c r="W15" s="1540" t="inlineStr">
        <is>
          <t>9. Primer nombre</t>
        </is>
      </c>
      <c r="X15" s="1530" t="n"/>
      <c r="Y15" s="1530" t="n"/>
      <c r="Z15" s="1530" t="n"/>
      <c r="AA15" s="1530" t="n"/>
      <c r="AB15" s="1539" t="n"/>
      <c r="AC15" s="1540" t="inlineStr">
        <is>
          <t>10. Otros nombres</t>
        </is>
      </c>
      <c r="AD15" s="1530" t="n"/>
      <c r="AE15" s="1530" t="n"/>
      <c r="AF15" s="1530" t="n"/>
      <c r="AG15" s="1530" t="n"/>
      <c r="AH15" s="1539" t="n"/>
    </row>
    <row r="16" ht="13.8" customFormat="1" customHeight="1" s="56">
      <c r="A16" s="1214" t="n"/>
      <c r="B16" s="893" t="inlineStr"/>
      <c r="C16" s="1541" t="n"/>
      <c r="D16" s="1541" t="n"/>
      <c r="E16" s="1541" t="n"/>
      <c r="F16" s="1541" t="n"/>
      <c r="G16" s="1542" t="n"/>
      <c r="H16" s="69" t="n"/>
      <c r="I16" s="891" t="n"/>
      <c r="J16" s="1541" t="n"/>
      <c r="K16" s="1541" t="n"/>
      <c r="L16" s="1541" t="n"/>
      <c r="M16" s="1541" t="n"/>
      <c r="N16" s="1541" t="n"/>
      <c r="O16" s="1542" t="n"/>
      <c r="P16" s="891" t="n"/>
      <c r="Q16" s="1541" t="n"/>
      <c r="R16" s="1541" t="n"/>
      <c r="S16" s="1541" t="n"/>
      <c r="T16" s="1541" t="n"/>
      <c r="U16" s="1541" t="n"/>
      <c r="V16" s="1542" t="n"/>
      <c r="W16" s="891" t="n"/>
      <c r="X16" s="1541" t="n"/>
      <c r="Y16" s="1541" t="n"/>
      <c r="Z16" s="1541" t="n"/>
      <c r="AA16" s="1541" t="n"/>
      <c r="AB16" s="1542" t="n"/>
      <c r="AC16" s="891" t="n"/>
      <c r="AD16" s="1541" t="n"/>
      <c r="AE16" s="1541" t="n"/>
      <c r="AF16" s="1541" t="n"/>
      <c r="AG16" s="1541" t="n"/>
      <c r="AH16" s="1542" t="n"/>
    </row>
    <row r="17" ht="13.8" customFormat="1" customHeight="1" s="56">
      <c r="A17" s="1214" t="n"/>
      <c r="B17" s="906" t="inlineStr">
        <is>
          <t>11. Razón social</t>
        </is>
      </c>
      <c r="C17" s="1517" t="n"/>
      <c r="D17" s="1517" t="n"/>
      <c r="E17" s="1517" t="n"/>
      <c r="F17" s="1517" t="n"/>
      <c r="G17" s="1517" t="n"/>
      <c r="H17" s="1517" t="n"/>
      <c r="I17" s="1517" t="n"/>
      <c r="J17" s="1517" t="n"/>
      <c r="K17" s="1517" t="n"/>
      <c r="L17" s="1517" t="n"/>
      <c r="M17" s="1517" t="n"/>
      <c r="N17" s="1517" t="n"/>
      <c r="O17" s="1517" t="n"/>
      <c r="P17" s="1517" t="n"/>
      <c r="Q17" s="1517" t="n"/>
      <c r="R17" s="1517" t="n"/>
      <c r="S17" s="1517" t="n"/>
      <c r="T17" s="1517" t="n"/>
      <c r="U17" s="1517" t="n"/>
      <c r="V17" s="1517" t="n"/>
      <c r="W17" s="1517" t="n"/>
      <c r="X17" s="1517" t="n"/>
      <c r="Y17" s="1517" t="n"/>
      <c r="Z17" s="1517" t="n"/>
      <c r="AA17" s="1517" t="n"/>
      <c r="AB17" s="1517" t="n"/>
      <c r="AC17" s="1517" t="n"/>
      <c r="AD17" s="1517" t="n"/>
      <c r="AE17" s="1519" t="n"/>
      <c r="AF17" s="908" t="inlineStr">
        <is>
          <t>12. Cód. Dir. Seccional</t>
        </is>
      </c>
      <c r="AG17" s="1517" t="n"/>
      <c r="AH17" s="1519" t="n"/>
    </row>
    <row r="18" ht="13.8" customFormat="1" customHeight="1" s="56">
      <c r="A18" s="1214" t="n"/>
      <c r="B18" s="909" t="inlineStr"/>
      <c r="C18" s="1543" t="n"/>
      <c r="D18" s="1543" t="n"/>
      <c r="E18" s="1543" t="n"/>
      <c r="F18" s="1543" t="n"/>
      <c r="G18" s="1543" t="n"/>
      <c r="H18" s="1543" t="n"/>
      <c r="I18" s="1543" t="n"/>
      <c r="J18" s="1543" t="n"/>
      <c r="K18" s="1543" t="n"/>
      <c r="L18" s="1543" t="n"/>
      <c r="M18" s="1543" t="n"/>
      <c r="N18" s="1543" t="n"/>
      <c r="O18" s="1543" t="n"/>
      <c r="P18" s="1543" t="n"/>
      <c r="Q18" s="1543" t="n"/>
      <c r="R18" s="1543" t="n"/>
      <c r="S18" s="1543" t="n"/>
      <c r="T18" s="1543" t="n"/>
      <c r="U18" s="1543" t="n"/>
      <c r="V18" s="1543" t="n"/>
      <c r="W18" s="1543" t="n"/>
      <c r="X18" s="1543" t="n"/>
      <c r="Y18" s="1543" t="n"/>
      <c r="Z18" s="1543" t="n"/>
      <c r="AA18" s="1543" t="n"/>
      <c r="AB18" s="1543" t="n"/>
      <c r="AC18" s="1543" t="n"/>
      <c r="AD18" s="1543" t="n"/>
      <c r="AE18" s="1544" t="n"/>
      <c r="AF18" s="911" t="n"/>
      <c r="AG18" s="1543" t="n"/>
      <c r="AH18" s="1544" t="n"/>
    </row>
    <row r="19" ht="13.8" customFormat="1" customHeight="1" s="56">
      <c r="A19" s="1545" t="n"/>
      <c r="B19" s="912" t="inlineStr">
        <is>
          <t>24. Actividad económica</t>
        </is>
      </c>
      <c r="C19" s="1527" t="n"/>
      <c r="D19" s="1527" t="n"/>
      <c r="E19" s="1527" t="n"/>
      <c r="F19" s="1528" t="n"/>
      <c r="G19" s="867" t="n"/>
      <c r="H19" s="1544" t="n"/>
      <c r="I19" s="915" t="inlineStr">
        <is>
          <t>Si es una corrección indique</t>
        </is>
      </c>
      <c r="J19" s="1527" t="n"/>
      <c r="K19" s="1527" t="n"/>
      <c r="L19" s="1527" t="n"/>
      <c r="M19" s="1527" t="n"/>
      <c r="N19" s="1527" t="n"/>
      <c r="O19" s="1528" t="n"/>
      <c r="P19" s="915" t="inlineStr">
        <is>
          <t>25. Cód</t>
        </is>
      </c>
      <c r="Q19" s="1528" t="n"/>
      <c r="R19" s="867" t="n"/>
      <c r="S19" s="1544" t="n"/>
      <c r="T19" s="868" t="inlineStr">
        <is>
          <t>26.  No. Formulario anterior</t>
        </is>
      </c>
      <c r="U19" s="1527" t="n"/>
      <c r="V19" s="1527" t="n"/>
      <c r="W19" s="1527" t="n"/>
      <c r="X19" s="1527" t="n"/>
      <c r="Y19" s="1527" t="n"/>
      <c r="Z19" s="1527" t="n"/>
      <c r="AA19" s="1528" t="n"/>
      <c r="AB19" s="867" t="n"/>
      <c r="AC19" s="1543" t="n"/>
      <c r="AD19" s="1543" t="n"/>
      <c r="AE19" s="1543" t="n"/>
      <c r="AF19" s="1543" t="n"/>
      <c r="AG19" s="1543" t="n"/>
      <c r="AH19" s="1544" t="n"/>
    </row>
    <row r="20" ht="13.8" customFormat="1" customHeight="1" s="56">
      <c r="A20" s="895" t="inlineStr">
        <is>
          <t>27. Fracción año gravable siguiente (Marque X)</t>
        </is>
      </c>
      <c r="B20" s="1527" t="n"/>
      <c r="C20" s="1527" t="n"/>
      <c r="D20" s="1527" t="n"/>
      <c r="E20" s="1527" t="n"/>
      <c r="F20" s="1527" t="n"/>
      <c r="G20" s="1527" t="n"/>
      <c r="H20" s="1528" t="n"/>
      <c r="I20" s="70" t="n"/>
      <c r="J20" s="895" t="inlineStr">
        <is>
          <t>28. Renuncio a pertenecer al Régimen tributario especial</t>
        </is>
      </c>
      <c r="K20" s="1527" t="n"/>
      <c r="L20" s="1527" t="n"/>
      <c r="M20" s="1527" t="n"/>
      <c r="N20" s="1527" t="n"/>
      <c r="O20" s="1527" t="n"/>
      <c r="P20" s="1527" t="n"/>
      <c r="Q20" s="1527" t="n"/>
      <c r="R20" s="1527" t="n"/>
      <c r="S20" s="1527" t="n"/>
      <c r="T20" s="1527" t="n"/>
      <c r="U20" s="1528" t="n"/>
      <c r="V20" s="70" t="n"/>
      <c r="W20" s="895" t="inlineStr">
        <is>
          <t>29. Vinculado al pago de obras por impuestos</t>
        </is>
      </c>
      <c r="X20" s="1527" t="n"/>
      <c r="Y20" s="1527" t="n"/>
      <c r="Z20" s="1527" t="n"/>
      <c r="AA20" s="1527" t="n"/>
      <c r="AB20" s="1527" t="n"/>
      <c r="AC20" s="1527" t="n"/>
      <c r="AD20" s="1527" t="n"/>
      <c r="AE20" s="1527" t="n"/>
      <c r="AF20" s="1528" t="n"/>
      <c r="AG20" s="70" t="n"/>
      <c r="AH20" s="71" t="n"/>
    </row>
    <row r="21" ht="33" customFormat="1" customHeight="1" s="56">
      <c r="A21" s="896" t="inlineStr">
        <is>
          <t>Datos Informativos</t>
        </is>
      </c>
      <c r="B21" s="1528" t="n"/>
      <c r="C21" s="895" t="inlineStr">
        <is>
          <t>30. Total costos y gastos nómina</t>
        </is>
      </c>
      <c r="D21" s="1527" t="n"/>
      <c r="E21" s="1527" t="n"/>
      <c r="F21" s="1527" t="n"/>
      <c r="G21" s="1528" t="n"/>
      <c r="H21" s="897" t="n">
        <v>0</v>
      </c>
      <c r="I21" s="1527" t="n"/>
      <c r="J21" s="1527" t="n"/>
      <c r="K21" s="1527" t="n"/>
      <c r="L21" s="1527" t="n"/>
      <c r="M21" s="1528" t="n"/>
      <c r="N21" s="899" t="inlineStr">
        <is>
          <t>31. Aportes al sistema de seguridad social</t>
        </is>
      </c>
      <c r="O21" s="1527" t="n"/>
      <c r="P21" s="1527" t="n"/>
      <c r="Q21" s="1527" t="n"/>
      <c r="R21" s="1527" t="n"/>
      <c r="S21" s="1528" t="n"/>
      <c r="T21" s="897" t="n">
        <v>0</v>
      </c>
      <c r="U21" s="1527" t="n"/>
      <c r="V21" s="1527" t="n"/>
      <c r="W21" s="1527" t="n"/>
      <c r="X21" s="1527" t="n"/>
      <c r="Y21" s="1528" t="n"/>
      <c r="Z21" s="899" t="inlineStr">
        <is>
          <t>32. Aportes al SENA, ICBF, cajas de compensación</t>
        </is>
      </c>
      <c r="AA21" s="1527" t="n"/>
      <c r="AB21" s="1528" t="n"/>
      <c r="AC21" s="897" t="n">
        <v>0</v>
      </c>
      <c r="AD21" s="1527" t="n"/>
      <c r="AE21" s="1527" t="n"/>
      <c r="AF21" s="1527" t="n"/>
      <c r="AG21" s="1527" t="n"/>
      <c r="AH21" s="1528" t="n"/>
      <c r="AJ21" s="1546" t="n"/>
    </row>
    <row r="22" ht="13.8" customFormat="1" customHeight="1" s="56">
      <c r="A22" s="1547" t="inlineStr">
        <is>
          <t>Patrimonio</t>
        </is>
      </c>
      <c r="B22" s="1548" t="inlineStr">
        <is>
          <t>Efectivo y equivalentes al efectivo</t>
        </is>
      </c>
      <c r="C22" s="1530" t="n"/>
      <c r="D22" s="1530" t="n"/>
      <c r="E22" s="1530" t="n"/>
      <c r="F22" s="1530" t="n"/>
      <c r="G22" s="1530" t="n"/>
      <c r="H22" s="1530" t="n"/>
      <c r="I22" s="1530" t="n"/>
      <c r="J22" s="1539" t="n"/>
      <c r="K22" s="72" t="n">
        <v>36</v>
      </c>
      <c r="L22" s="1549" t="n">
        <v>0</v>
      </c>
      <c r="M22" s="1550" t="n"/>
      <c r="N22" s="1550" t="n"/>
      <c r="O22" s="1550" t="n"/>
      <c r="P22" s="1550" t="n"/>
      <c r="Q22" s="1551" t="n"/>
      <c r="R22" s="1552" t="inlineStr">
        <is>
          <t>Continuación Renta</t>
        </is>
      </c>
      <c r="S22" s="1548" t="inlineStr">
        <is>
          <t>Compensaciones</t>
        </is>
      </c>
      <c r="T22" s="1530" t="n"/>
      <c r="U22" s="1530" t="n"/>
      <c r="V22" s="1530" t="n"/>
      <c r="W22" s="1530" t="n"/>
      <c r="X22" s="1530" t="n"/>
      <c r="Y22" s="1530" t="n"/>
      <c r="Z22" s="1530" t="n"/>
      <c r="AA22" s="1539" t="n"/>
      <c r="AB22" s="72">
        <f>K58+1</f>
        <v/>
      </c>
      <c r="AC22" s="1549" t="n">
        <v>0</v>
      </c>
      <c r="AD22" s="1550" t="n"/>
      <c r="AE22" s="1550" t="n"/>
      <c r="AF22" s="1550" t="n"/>
      <c r="AG22" s="1550" t="n"/>
      <c r="AH22" s="1551" t="n"/>
    </row>
    <row r="23" ht="13.8" customFormat="1" customHeight="1" s="56">
      <c r="A23" s="1214" t="n"/>
      <c r="B23" s="925" t="inlineStr">
        <is>
          <t>Inversiones e instrumentos financieros derivados</t>
        </is>
      </c>
      <c r="J23" s="1529" t="n"/>
      <c r="K23" s="73">
        <f>+K22+1</f>
        <v/>
      </c>
      <c r="L23" s="926" t="n">
        <v>0</v>
      </c>
      <c r="M23" s="1553" t="n"/>
      <c r="N23" s="1553" t="n"/>
      <c r="O23" s="1553" t="n"/>
      <c r="P23" s="1553" t="n"/>
      <c r="Q23" s="1554" t="n"/>
      <c r="R23" s="1214" t="n"/>
      <c r="S23" s="929" t="inlineStr">
        <is>
          <t>Renta líquida (67 - 69)</t>
        </is>
      </c>
      <c r="AA23" s="1529" t="n"/>
      <c r="AB23" s="73">
        <f>AB22+1</f>
        <v/>
      </c>
      <c r="AC23" s="926">
        <f>IF(AC22&gt;L57,L57,IF(L57=0,0,IF(L57-AC22&lt;0,0,L57-AC22)))</f>
        <v/>
      </c>
      <c r="AD23" s="1553" t="n"/>
      <c r="AE23" s="1553" t="n"/>
      <c r="AF23" s="1553" t="n"/>
      <c r="AG23" s="1553" t="n"/>
      <c r="AH23" s="1554" t="n"/>
    </row>
    <row r="24" ht="13.8" customFormat="1" customHeight="1" s="56">
      <c r="A24" s="1214" t="n"/>
      <c r="B24" s="927" t="inlineStr">
        <is>
          <t>Cuentas, documentos y arrendamientos financieros por cobrar</t>
        </is>
      </c>
      <c r="J24" s="1529" t="n"/>
      <c r="K24" s="74">
        <f>+K23+1</f>
        <v/>
      </c>
      <c r="L24" s="928" t="n">
        <v>0</v>
      </c>
      <c r="M24" s="1553" t="n"/>
      <c r="N24" s="1553" t="n"/>
      <c r="O24" s="1553" t="n"/>
      <c r="P24" s="1553" t="n"/>
      <c r="Q24" s="1554" t="n"/>
      <c r="R24" s="1214" t="n"/>
      <c r="S24" s="927" t="inlineStr">
        <is>
          <t>Renta presuntiva</t>
        </is>
      </c>
      <c r="AA24" s="1529" t="n"/>
      <c r="AB24" s="74">
        <f>AB23+1</f>
        <v/>
      </c>
      <c r="AC24" s="928" t="n">
        <v>0</v>
      </c>
      <c r="AD24" s="1553" t="n"/>
      <c r="AE24" s="1553" t="n"/>
      <c r="AF24" s="1553" t="n"/>
      <c r="AG24" s="1553" t="n"/>
      <c r="AH24" s="1554" t="n"/>
    </row>
    <row r="25" ht="13.8" customFormat="1" customHeight="1" s="56">
      <c r="A25" s="1214" t="n"/>
      <c r="B25" s="925" t="inlineStr">
        <is>
          <t>Inventarios</t>
        </is>
      </c>
      <c r="J25" s="1529" t="n"/>
      <c r="K25" s="73">
        <f>+K24+1</f>
        <v/>
      </c>
      <c r="L25" s="926" t="n">
        <v>0</v>
      </c>
      <c r="M25" s="1553" t="n"/>
      <c r="N25" s="1553" t="n"/>
      <c r="O25" s="1553" t="n"/>
      <c r="P25" s="1553" t="n"/>
      <c r="Q25" s="1554" t="n"/>
      <c r="R25" s="1214" t="n"/>
      <c r="S25" s="925" t="inlineStr">
        <is>
          <t>Renta exenta</t>
        </is>
      </c>
      <c r="AA25" s="1529" t="n"/>
      <c r="AB25" s="73">
        <f>AB24+1</f>
        <v/>
      </c>
      <c r="AC25" s="926" t="n">
        <v>0</v>
      </c>
      <c r="AD25" s="1553" t="n"/>
      <c r="AE25" s="1553" t="n"/>
      <c r="AF25" s="1553" t="n"/>
      <c r="AG25" s="1553" t="n"/>
      <c r="AH25" s="1554" t="n"/>
    </row>
    <row r="26" ht="13.8" customFormat="1" customHeight="1" s="56">
      <c r="A26" s="1214" t="n"/>
      <c r="B26" s="927" t="inlineStr">
        <is>
          <t xml:space="preserve">Activos intangibles </t>
        </is>
      </c>
      <c r="J26" s="1529" t="n"/>
      <c r="K26" s="74">
        <f>+K25+1</f>
        <v/>
      </c>
      <c r="L26" s="928" t="n">
        <v>0</v>
      </c>
      <c r="M26" s="1553" t="n"/>
      <c r="N26" s="1553" t="n"/>
      <c r="O26" s="1553" t="n"/>
      <c r="P26" s="1553" t="n"/>
      <c r="Q26" s="1554" t="n"/>
      <c r="R26" s="1214" t="n"/>
      <c r="S26" s="927" t="inlineStr">
        <is>
          <t>Rentas gravables</t>
        </is>
      </c>
      <c r="AA26" s="1529" t="n"/>
      <c r="AB26" s="74">
        <f>AB25+1</f>
        <v/>
      </c>
      <c r="AC26" s="928" t="n">
        <v>0</v>
      </c>
      <c r="AD26" s="1553" t="n"/>
      <c r="AE26" s="1553" t="n"/>
      <c r="AF26" s="1553" t="n"/>
      <c r="AG26" s="1553" t="n"/>
      <c r="AH26" s="1554" t="n"/>
    </row>
    <row r="27" ht="13.8" customFormat="1" customHeight="1" s="56">
      <c r="A27" s="1214" t="n"/>
      <c r="B27" s="925" t="inlineStr">
        <is>
          <t>Activos biológicos</t>
        </is>
      </c>
      <c r="J27" s="1529" t="n"/>
      <c r="K27" s="73">
        <f>+K26+1</f>
        <v/>
      </c>
      <c r="L27" s="926" t="n">
        <v>0</v>
      </c>
      <c r="M27" s="1553" t="n"/>
      <c r="N27" s="1553" t="n"/>
      <c r="O27" s="1553" t="n"/>
      <c r="P27" s="1553" t="n"/>
      <c r="Q27" s="1554" t="n"/>
      <c r="R27" s="1229" t="n"/>
      <c r="S27" s="934" t="inlineStr">
        <is>
          <t xml:space="preserve">Renta líquida gravable (al mayor valor entre 70 y 71 reste 72 y sume 73) </t>
        </is>
      </c>
      <c r="AA27" s="1529" t="n"/>
      <c r="AB27" s="73">
        <f>AB26+1</f>
        <v/>
      </c>
      <c r="AC27" s="935">
        <f>IF(MAX(AC23,AC24)-AC25+AC26&lt;0,0,MAX(AC23,AC24)-AC25+AC26)</f>
        <v/>
      </c>
      <c r="AD27" s="1553" t="n"/>
      <c r="AE27" s="1553" t="n"/>
      <c r="AF27" s="1553" t="n"/>
      <c r="AG27" s="1553" t="n"/>
      <c r="AH27" s="1554" t="n"/>
      <c r="AJ27" s="56" t="n"/>
    </row>
    <row r="28" ht="13.8" customFormat="1" customHeight="1" s="56">
      <c r="A28" s="1214" t="n"/>
      <c r="B28" s="927" t="inlineStr">
        <is>
          <t>Propiedades, planta y equipo, propiedades de inversión y ANCMV</t>
        </is>
      </c>
      <c r="J28" s="1529" t="n"/>
      <c r="K28" s="74">
        <f>+K27+1</f>
        <v/>
      </c>
      <c r="L28" s="928" t="n">
        <v>0</v>
      </c>
      <c r="M28" s="1553" t="n"/>
      <c r="N28" s="1553" t="n"/>
      <c r="O28" s="1553" t="n"/>
      <c r="P28" s="1553" t="n"/>
      <c r="Q28" s="1554" t="n"/>
      <c r="R28" s="936" t="inlineStr">
        <is>
          <t>Ganancias ocasionales</t>
        </is>
      </c>
      <c r="S28" s="933" t="inlineStr">
        <is>
          <t>Ingresos por ganancias ocasionales</t>
        </is>
      </c>
      <c r="AA28" s="1529" t="n"/>
      <c r="AB28" s="74">
        <f>AB27+1</f>
        <v/>
      </c>
      <c r="AC28" s="928" t="n">
        <v>0</v>
      </c>
      <c r="AD28" s="1553" t="n"/>
      <c r="AE28" s="1553" t="n"/>
      <c r="AF28" s="1553" t="n"/>
      <c r="AG28" s="1553" t="n"/>
      <c r="AH28" s="1554" t="n"/>
    </row>
    <row r="29" ht="13.8" customFormat="1" customHeight="1" s="56">
      <c r="A29" s="1214" t="n"/>
      <c r="B29" s="925" t="inlineStr">
        <is>
          <t>Otros activos</t>
        </is>
      </c>
      <c r="J29" s="1529" t="n"/>
      <c r="K29" s="73">
        <f>+K28+1</f>
        <v/>
      </c>
      <c r="L29" s="926" t="n">
        <v>0</v>
      </c>
      <c r="M29" s="1553" t="n"/>
      <c r="N29" s="1553" t="n"/>
      <c r="O29" s="1553" t="n"/>
      <c r="P29" s="1553" t="n"/>
      <c r="Q29" s="1554" t="n"/>
      <c r="R29" s="1214" t="n"/>
      <c r="S29" s="930" t="inlineStr">
        <is>
          <t xml:space="preserve">Costos por ganancias ocasionales </t>
        </is>
      </c>
      <c r="AA29" s="1529" t="n"/>
      <c r="AB29" s="73">
        <f>AB28+1</f>
        <v/>
      </c>
      <c r="AC29" s="926" t="n">
        <v>0</v>
      </c>
      <c r="AD29" s="1553" t="n"/>
      <c r="AE29" s="1553" t="n"/>
      <c r="AF29" s="1553" t="n"/>
      <c r="AG29" s="1553" t="n"/>
      <c r="AH29" s="1554" t="n"/>
    </row>
    <row r="30" ht="13.8" customFormat="1" customHeight="1" s="56">
      <c r="A30" s="1214" t="n"/>
      <c r="B30" s="931" t="inlineStr">
        <is>
          <t>Total patrimonio bruto (33 + 34 + 35 + 36 + 37 + 38 + 39 + 40)</t>
        </is>
      </c>
      <c r="J30" s="1529" t="n"/>
      <c r="K30" s="75">
        <f>+K29+1</f>
        <v/>
      </c>
      <c r="L30" s="932">
        <f>L22+L23+L24+L25+L26+L27+L28+L29</f>
        <v/>
      </c>
      <c r="M30" s="1553" t="n"/>
      <c r="N30" s="1553" t="n"/>
      <c r="O30" s="1553" t="n"/>
      <c r="P30" s="1553" t="n"/>
      <c r="Q30" s="1554" t="n"/>
      <c r="R30" s="1214" t="n"/>
      <c r="S30" s="933" t="inlineStr">
        <is>
          <t>Ganancias ocasionales no gravadas y exentas</t>
        </is>
      </c>
      <c r="AA30" s="1529" t="n"/>
      <c r="AB30" s="74">
        <f>AB29+1</f>
        <v/>
      </c>
      <c r="AC30" s="928" t="n">
        <v>0</v>
      </c>
      <c r="AD30" s="1553" t="n"/>
      <c r="AE30" s="1553" t="n"/>
      <c r="AF30" s="1553" t="n"/>
      <c r="AG30" s="1553" t="n"/>
      <c r="AH30" s="1554" t="n"/>
    </row>
    <row r="31" ht="13.8" customFormat="1" customHeight="1" s="56">
      <c r="A31" s="1214" t="n"/>
      <c r="B31" s="925" t="inlineStr">
        <is>
          <t>Pasivos</t>
        </is>
      </c>
      <c r="J31" s="1529" t="n"/>
      <c r="K31" s="73">
        <f>+K30+1</f>
        <v/>
      </c>
      <c r="L31" s="926" t="n">
        <v>0</v>
      </c>
      <c r="M31" s="1553" t="n"/>
      <c r="N31" s="1553" t="n"/>
      <c r="O31" s="1553" t="n"/>
      <c r="P31" s="1553" t="n"/>
      <c r="Q31" s="1554" t="n"/>
      <c r="R31" s="1214" t="n"/>
      <c r="S31" s="938" t="inlineStr">
        <is>
          <t>Ganancias ocasionales gravables (75 - 76 - 77)</t>
        </is>
      </c>
      <c r="AA31" s="1529" t="n"/>
      <c r="AB31" s="76">
        <f>AB30+1</f>
        <v/>
      </c>
      <c r="AC31" s="935">
        <f>IF(AC28-AC29-AC30&lt;0,0,AC28-AC29-AC30)</f>
        <v/>
      </c>
      <c r="AD31" s="1553" t="n"/>
      <c r="AE31" s="1553" t="n"/>
      <c r="AF31" s="1553" t="n"/>
      <c r="AG31" s="1553" t="n"/>
      <c r="AH31" s="1554" t="n"/>
    </row>
    <row r="32" ht="13.8" customFormat="1" customHeight="1" s="56">
      <c r="A32" s="1229" t="n"/>
      <c r="B32" s="939" t="inlineStr">
        <is>
          <t>Total patrimonio líquido (41 - 42)</t>
        </is>
      </c>
      <c r="C32" s="1537" t="n"/>
      <c r="D32" s="1537" t="n"/>
      <c r="E32" s="1537" t="n"/>
      <c r="F32" s="1537" t="n"/>
      <c r="G32" s="1537" t="n"/>
      <c r="H32" s="1537" t="n"/>
      <c r="I32" s="1537" t="n"/>
      <c r="J32" s="1555" t="n"/>
      <c r="K32" s="77">
        <f>+K31+1</f>
        <v/>
      </c>
      <c r="L32" s="941">
        <f>IF(L30-L31&lt;0,0,L30-L31)</f>
        <v/>
      </c>
      <c r="M32" s="1556" t="n"/>
      <c r="N32" s="1556" t="n"/>
      <c r="O32" s="1556" t="n"/>
      <c r="P32" s="1556" t="n"/>
      <c r="Q32" s="1557" t="n"/>
      <c r="R32" s="1558" t="inlineStr">
        <is>
          <t>Liquidación privada</t>
        </is>
      </c>
      <c r="S32" s="1559" t="inlineStr">
        <is>
          <t>Impuesto sobre las rentas líquidas gravables</t>
        </is>
      </c>
      <c r="T32" s="1548" t="inlineStr">
        <is>
          <t>Impuesto sobre la renta líquida gravable</t>
        </is>
      </c>
      <c r="U32" s="1530" t="n"/>
      <c r="V32" s="1530" t="n"/>
      <c r="W32" s="1530" t="n"/>
      <c r="X32" s="1530" t="n"/>
      <c r="Y32" s="1530" t="n"/>
      <c r="Z32" s="1530" t="n"/>
      <c r="AA32" s="1539" t="n"/>
      <c r="AB32" s="78">
        <f>AB31+1</f>
        <v/>
      </c>
      <c r="AC32" s="1560" t="n">
        <v>0</v>
      </c>
      <c r="AD32" s="1550" t="n"/>
      <c r="AE32" s="1550" t="n"/>
      <c r="AF32" s="1550" t="n"/>
      <c r="AG32" s="1550" t="n"/>
      <c r="AH32" s="1551" t="n"/>
    </row>
    <row r="33" ht="13.8" customFormat="1" customHeight="1" s="56">
      <c r="A33" s="1547" t="inlineStr">
        <is>
          <t>Ingresos</t>
        </is>
      </c>
      <c r="B33" s="1561" t="inlineStr">
        <is>
          <t>Ingresos brutos de actividades ordinarias</t>
        </is>
      </c>
      <c r="C33" s="1530" t="n"/>
      <c r="D33" s="1530" t="n"/>
      <c r="E33" s="1530" t="n"/>
      <c r="F33" s="1530" t="n"/>
      <c r="G33" s="1530" t="n"/>
      <c r="H33" s="1530" t="n"/>
      <c r="I33" s="1530" t="n"/>
      <c r="J33" s="1539" t="n"/>
      <c r="K33" s="79">
        <f>+K32+1</f>
        <v/>
      </c>
      <c r="L33" s="1562" t="n">
        <v>0</v>
      </c>
      <c r="M33" s="1550" t="n"/>
      <c r="N33" s="1550" t="n"/>
      <c r="O33" s="1550" t="n"/>
      <c r="P33" s="1550" t="n"/>
      <c r="Q33" s="1551" t="n"/>
      <c r="R33" s="1214" t="n"/>
      <c r="S33" s="1214" t="n"/>
      <c r="T33" s="925" t="inlineStr">
        <is>
          <t>Impuesto de dividendos y/o participaciones gravadas, a la tarifa del 7,5% (base casilla 50)</t>
        </is>
      </c>
      <c r="AA33" s="1529" t="n"/>
      <c r="AB33" s="73">
        <f>AB32+1</f>
        <v/>
      </c>
      <c r="AC33" s="926">
        <f>ROUND(L40*(7.5%)/1000,0)*1000</f>
        <v/>
      </c>
      <c r="AD33" s="1553" t="n"/>
      <c r="AE33" s="1553" t="n"/>
      <c r="AF33" s="1553" t="n"/>
      <c r="AG33" s="1553" t="n"/>
      <c r="AH33" s="1554" t="n"/>
    </row>
    <row r="34" ht="13.8" customFormat="1" customHeight="1" s="56">
      <c r="A34" s="1214" t="n"/>
      <c r="B34" s="927" t="inlineStr">
        <is>
          <t>Ingresos financieros</t>
        </is>
      </c>
      <c r="J34" s="1529" t="n"/>
      <c r="K34" s="74">
        <f>+K33+1</f>
        <v/>
      </c>
      <c r="L34" s="928" t="n">
        <v>0</v>
      </c>
      <c r="M34" s="1553" t="n"/>
      <c r="N34" s="1553" t="n"/>
      <c r="O34" s="1553" t="n"/>
      <c r="P34" s="1553" t="n"/>
      <c r="Q34" s="1554" t="n"/>
      <c r="R34" s="1214" t="n"/>
      <c r="S34" s="1214" t="n"/>
      <c r="T34" s="927" t="inlineStr">
        <is>
          <t>Impuesto  de dividendos y/o participaciones gravadas, a la tarifa del artículo 240 del E.T. (base casilla 51).</t>
        </is>
      </c>
      <c r="AA34" s="1529" t="n"/>
      <c r="AB34" s="75">
        <f>AB33+1</f>
        <v/>
      </c>
      <c r="AC34" s="932">
        <f>ROUND((L41*33%+(L41*0.67*0.075))/1000,0)*1000</f>
        <v/>
      </c>
      <c r="AD34" s="1553" t="n"/>
      <c r="AE34" s="1553" t="n"/>
      <c r="AF34" s="1553" t="n"/>
      <c r="AG34" s="1553" t="n"/>
      <c r="AH34" s="1554" t="n"/>
    </row>
    <row r="35" ht="13.8" customFormat="1" customHeight="1" s="56">
      <c r="A35" s="1214" t="n"/>
      <c r="B35" s="925" t="inlineStr">
        <is>
          <t>Dividendos y/o participaciones no constitutivos de renta ni ganancia ocasional (incluye capitalizaciones no gravadas)</t>
        </is>
      </c>
      <c r="J35" s="1529" t="n"/>
      <c r="K35" s="73">
        <f>+K34+1</f>
        <v/>
      </c>
      <c r="L35" s="926" t="n">
        <v>0</v>
      </c>
      <c r="M35" s="1553" t="n"/>
      <c r="N35" s="1553" t="n"/>
      <c r="O35" s="1553" t="n"/>
      <c r="P35" s="1553" t="n"/>
      <c r="Q35" s="1554" t="n"/>
      <c r="R35" s="1214" t="n"/>
      <c r="S35" s="1229" t="n"/>
      <c r="T35" s="946" t="inlineStr">
        <is>
          <t>Impuesto de dividendos y/o participaciones gravadas, a la tarifa del 33% (base casilla 49)</t>
        </is>
      </c>
      <c r="U35" s="1537" t="n"/>
      <c r="V35" s="1537" t="n"/>
      <c r="W35" s="1537" t="n"/>
      <c r="X35" s="1537" t="n"/>
      <c r="Y35" s="1537" t="n"/>
      <c r="Z35" s="1537" t="n"/>
      <c r="AA35" s="1555" t="n"/>
      <c r="AB35" s="80">
        <f>AB34+1</f>
        <v/>
      </c>
      <c r="AC35" s="947">
        <f>ROUND(L39*(33%)/1000,0)*1000</f>
        <v/>
      </c>
      <c r="AD35" s="1556" t="n"/>
      <c r="AE35" s="1556" t="n"/>
      <c r="AF35" s="1556" t="n"/>
      <c r="AG35" s="1556" t="n"/>
      <c r="AH35" s="1557" t="n"/>
    </row>
    <row r="36" ht="13.8" customFormat="1" customHeight="1" s="56">
      <c r="A36" s="1214" t="n"/>
      <c r="B36" s="927" t="inlineStr">
        <is>
          <t>Dividendos y/o participaciones recibidas por CHC de una entidad no residente en Colombia exentos</t>
        </is>
      </c>
      <c r="J36" s="1529" t="n"/>
      <c r="K36" s="74">
        <f>+K35+1</f>
        <v/>
      </c>
      <c r="L36" s="928" t="n">
        <v>0</v>
      </c>
      <c r="M36" s="1553" t="n"/>
      <c r="N36" s="1553" t="n"/>
      <c r="O36" s="1553" t="n"/>
      <c r="P36" s="1553" t="n"/>
      <c r="Q36" s="1554" t="n"/>
      <c r="R36" s="1214" t="n"/>
      <c r="S36" s="948" t="inlineStr">
        <is>
          <t>Total impuesto sobre las rentas líquidas gravables (79 + 80 + 81 + 82)</t>
        </is>
      </c>
      <c r="AA36" s="1529" t="n"/>
      <c r="AB36" s="74">
        <f>AB35+4</f>
        <v/>
      </c>
      <c r="AC36" s="932">
        <f>SUM(AC32:AH35)</f>
        <v/>
      </c>
      <c r="AD36" s="1553" t="n"/>
      <c r="AE36" s="1553" t="n"/>
      <c r="AF36" s="1553" t="n"/>
      <c r="AG36" s="1553" t="n"/>
      <c r="AH36" s="1554" t="n"/>
      <c r="AJ36" s="692" t="n"/>
    </row>
    <row r="37" ht="13.8" customFormat="1" customHeight="1" s="56">
      <c r="A37" s="1214" t="n"/>
      <c r="B37" s="925" t="inlineStr">
        <is>
          <t>Dividendos y/o participaciones gravadas recibidas por sociedades extranjeras (año 2016 y anteriores) o sociedades nacionales cualquier año</t>
        </is>
      </c>
      <c r="J37" s="1529" t="n"/>
      <c r="K37" s="73">
        <f>+K36+1</f>
        <v/>
      </c>
      <c r="L37" s="926" t="n">
        <v>0</v>
      </c>
      <c r="M37" s="1553" t="n"/>
      <c r="N37" s="1553" t="n"/>
      <c r="O37" s="1553" t="n"/>
      <c r="P37" s="1553" t="n"/>
      <c r="Q37" s="1554" t="n"/>
      <c r="R37" s="1214" t="n"/>
      <c r="S37" s="925" t="inlineStr">
        <is>
          <t>Descuentos tributarios</t>
        </is>
      </c>
      <c r="AA37" s="1529" t="n"/>
      <c r="AB37" s="73">
        <f>AB36+1</f>
        <v/>
      </c>
      <c r="AC37" s="926" t="n">
        <v>0</v>
      </c>
      <c r="AD37" s="1553" t="n"/>
      <c r="AE37" s="1553" t="n"/>
      <c r="AF37" s="1553" t="n"/>
      <c r="AG37" s="1553" t="n"/>
      <c r="AH37" s="1554" t="n"/>
    </row>
    <row r="38" ht="13.8" customFormat="1" customHeight="1" s="56">
      <c r="A38" s="1214" t="n"/>
      <c r="B38" s="925" t="n"/>
      <c r="J38" s="1529" t="n"/>
      <c r="K38" s="73" t="n"/>
      <c r="L38" s="926" t="n"/>
      <c r="M38" s="1553" t="n"/>
      <c r="N38" s="1553" t="n"/>
      <c r="O38" s="1553" t="n"/>
      <c r="P38" s="1553" t="n"/>
      <c r="Q38" s="1554" t="n"/>
      <c r="R38" s="1214" t="n"/>
      <c r="S38" s="925" t="inlineStr">
        <is>
          <t xml:space="preserve"> Impuesto a adicionar (IA)</t>
        </is>
      </c>
      <c r="AA38" s="1529" t="n"/>
      <c r="AB38" s="73" t="n">
        <v>95</v>
      </c>
      <c r="AC38" s="926">
        <v>0</v>
        <v/>
      </c>
      <c r="AD38" s="1553" t="n"/>
      <c r="AE38" s="1553" t="n"/>
      <c r="AF38" s="1553" t="n"/>
      <c r="AG38" s="1553" t="n"/>
      <c r="AH38" s="1554" t="n"/>
    </row>
    <row r="39" ht="13.8" customFormat="1" customHeight="1" s="56">
      <c r="A39" s="1214" t="n"/>
      <c r="B39" s="958" t="inlineStr">
        <is>
          <t>Dividendos y/o participaciones gravadas recibidas por Personas Naturales sin residencia fiscal (año 2016 y anteriores)</t>
        </is>
      </c>
      <c r="J39" s="1529" t="n"/>
      <c r="K39" s="74">
        <f>+K37+1</f>
        <v/>
      </c>
      <c r="L39" s="928" t="n">
        <v>0</v>
      </c>
      <c r="M39" s="1553" t="n"/>
      <c r="N39" s="1553" t="n"/>
      <c r="O39" s="1553" t="n"/>
      <c r="P39" s="1553" t="n"/>
      <c r="Q39" s="1554" t="n"/>
      <c r="R39" s="1214" t="n"/>
      <c r="S39" s="931" t="inlineStr">
        <is>
          <t>Impuesto neto de renta (83 - 84)</t>
        </is>
      </c>
      <c r="AA39" s="1529" t="n"/>
      <c r="AB39" s="74">
        <f>AB37+1</f>
        <v/>
      </c>
      <c r="AC39" s="928">
        <f>IF(AC36-AC37+AC38&lt;0,AC36,AC36-AC37+AC38)</f>
        <v/>
      </c>
      <c r="AD39" s="1553" t="n"/>
      <c r="AE39" s="1553" t="n"/>
      <c r="AF39" s="1553" t="n"/>
      <c r="AG39" s="1553" t="n"/>
      <c r="AH39" s="1554" t="n"/>
      <c r="AJ39" s="56" t="n"/>
      <c r="AK39" s="56" t="n"/>
      <c r="AM39" s="1563" t="n"/>
    </row>
    <row r="40" ht="13.8" customFormat="1" customHeight="1" s="56">
      <c r="A40" s="1214" t="n"/>
      <c r="B40" s="956" t="inlineStr">
        <is>
          <t>Dividendos y/o participaciones gravadas al 7,5%</t>
        </is>
      </c>
      <c r="J40" s="1529" t="n"/>
      <c r="K40" s="73">
        <f>+K39+1</f>
        <v/>
      </c>
      <c r="L40" s="926" t="n">
        <v>0</v>
      </c>
      <c r="M40" s="1553" t="n"/>
      <c r="N40" s="1553" t="n"/>
      <c r="O40" s="1553" t="n"/>
      <c r="P40" s="1553" t="n"/>
      <c r="Q40" s="1554" t="n"/>
      <c r="R40" s="1214" t="n"/>
      <c r="S40" s="929" t="inlineStr">
        <is>
          <t>Impuesto de ganancias ocasionales</t>
        </is>
      </c>
      <c r="AA40" s="1529" t="n"/>
      <c r="AB40" s="73">
        <f>AB39+1</f>
        <v/>
      </c>
      <c r="AC40" s="926" t="n">
        <v>0</v>
      </c>
      <c r="AD40" s="1553" t="n"/>
      <c r="AE40" s="1553" t="n"/>
      <c r="AF40" s="1553" t="n"/>
      <c r="AG40" s="1553" t="n"/>
      <c r="AH40" s="1554" t="n"/>
    </row>
    <row r="41" ht="13.8" customFormat="1" customHeight="1" s="56">
      <c r="A41" s="1214" t="n"/>
      <c r="B41" s="927" t="inlineStr">
        <is>
          <t>Dividendos y/o participaciones gravadas a tarifa general (EP y sociedades extranjeras - utilidades generadas a partir del año 2017)</t>
        </is>
      </c>
      <c r="J41" s="1529" t="n"/>
      <c r="K41" s="74">
        <f>+K40+1</f>
        <v/>
      </c>
      <c r="L41" s="928" t="n">
        <v>0</v>
      </c>
      <c r="M41" s="1553" t="n"/>
      <c r="N41" s="1553" t="n"/>
      <c r="O41" s="1553" t="n"/>
      <c r="P41" s="1553" t="n"/>
      <c r="Q41" s="1554" t="n"/>
      <c r="R41" s="1214" t="n"/>
      <c r="S41" s="927" t="inlineStr">
        <is>
          <t>Descuento por impuestos pagados en el exterior por ganancias ocasionales</t>
        </is>
      </c>
      <c r="AA41" s="1529" t="n"/>
      <c r="AB41" s="74">
        <f>AB40+1</f>
        <v/>
      </c>
      <c r="AC41" s="957" t="n">
        <v>0</v>
      </c>
      <c r="AD41" s="1553" t="n"/>
      <c r="AE41" s="1553" t="n"/>
      <c r="AF41" s="1553" t="n"/>
      <c r="AG41" s="1553" t="n"/>
      <c r="AH41" s="1554" t="n"/>
    </row>
    <row r="42" ht="13.8" customFormat="1" customHeight="1" s="56">
      <c r="A42" s="1214" t="n"/>
      <c r="B42" s="951" t="inlineStr">
        <is>
          <t>Otros ingresos</t>
        </is>
      </c>
      <c r="C42" s="1564" t="n"/>
      <c r="D42" s="1564" t="n"/>
      <c r="E42" s="1564" t="n"/>
      <c r="F42" s="1564" t="n"/>
      <c r="G42" s="1564" t="n"/>
      <c r="H42" s="1564" t="n"/>
      <c r="I42" s="1564" t="n"/>
      <c r="J42" s="1565" t="n"/>
      <c r="K42" s="73">
        <f>+K41+3</f>
        <v/>
      </c>
      <c r="L42" s="959" t="n">
        <v>0</v>
      </c>
      <c r="M42" s="1553" t="n"/>
      <c r="N42" s="1553" t="n"/>
      <c r="O42" s="1553" t="n"/>
      <c r="P42" s="1553" t="n"/>
      <c r="Q42" s="1554" t="n"/>
      <c r="R42" s="1214" t="n"/>
      <c r="S42" s="929" t="inlineStr">
        <is>
          <t>Total impuesto a cargo (85 + 86 - 87)</t>
        </is>
      </c>
      <c r="AA42" s="1529" t="n"/>
      <c r="AB42" s="76">
        <f>AB41+1</f>
        <v/>
      </c>
      <c r="AC42" s="935">
        <f>AC39+AC40-AC41</f>
        <v/>
      </c>
      <c r="AD42" s="1553" t="n"/>
      <c r="AE42" s="1553" t="n"/>
      <c r="AF42" s="1553" t="n"/>
      <c r="AG42" s="1553" t="n"/>
      <c r="AH42" s="1554" t="n"/>
      <c r="AJ42" s="56" t="n"/>
      <c r="AK42" s="1563" t="n"/>
      <c r="AL42" s="1563" t="n"/>
    </row>
    <row r="43" ht="13.8" customFormat="1" customHeight="1" s="56">
      <c r="A43" s="1214" t="n"/>
      <c r="B43" s="931" t="inlineStr">
        <is>
          <t>Total ingresos brutos (44 + 45 + 46 + 47 + 48 + 49 + 50 + 51 + 52)</t>
        </is>
      </c>
      <c r="J43" s="1529" t="n"/>
      <c r="K43" s="75">
        <f>+K42+1</f>
        <v/>
      </c>
      <c r="L43" s="932">
        <f>SUM(L33:Q42)</f>
        <v/>
      </c>
      <c r="M43" s="1553" t="n"/>
      <c r="N43" s="1553" t="n"/>
      <c r="O43" s="1553" t="n"/>
      <c r="P43" s="1553" t="n"/>
      <c r="Q43" s="1554" t="n"/>
      <c r="R43" s="1214" t="n"/>
      <c r="S43" s="927" t="inlineStr">
        <is>
          <t>Valor inversión Obras por Impuestos hasta del 50% del valor de la casilla 88 (Modalidad  de pago 1)</t>
        </is>
      </c>
      <c r="AA43" s="1529" t="n"/>
      <c r="AB43" s="74">
        <f>AB42+1</f>
        <v/>
      </c>
      <c r="AC43" s="928" t="n">
        <v>0</v>
      </c>
      <c r="AD43" s="1553" t="n"/>
      <c r="AE43" s="1553" t="n"/>
      <c r="AF43" s="1553" t="n"/>
      <c r="AG43" s="1553" t="n"/>
      <c r="AH43" s="1554" t="n"/>
      <c r="AJ43" s="56" t="n"/>
      <c r="AK43" s="1563" t="n"/>
      <c r="AL43" s="1566" t="n"/>
    </row>
    <row r="44" ht="13.8" customFormat="1" customHeight="1" s="56">
      <c r="A44" s="1214" t="n"/>
      <c r="B44" s="925" t="inlineStr">
        <is>
          <t>Devoluciones, rebajas y descuentos en ventas</t>
        </is>
      </c>
      <c r="J44" s="1529" t="n"/>
      <c r="K44" s="73">
        <f>+K43+1</f>
        <v/>
      </c>
      <c r="L44" s="926" t="n">
        <v>0</v>
      </c>
      <c r="M44" s="1553" t="n"/>
      <c r="N44" s="1553" t="n"/>
      <c r="O44" s="1553" t="n"/>
      <c r="P44" s="1553" t="n"/>
      <c r="Q44" s="1554" t="n"/>
      <c r="R44" s="1214" t="n"/>
      <c r="S44" s="925" t="inlineStr">
        <is>
          <t>Descuento efectivo Inversión Obras por Impuesto (Modalidad de pago 2)</t>
        </is>
      </c>
      <c r="AA44" s="1529" t="n"/>
      <c r="AB44" s="73">
        <f>AB43+1</f>
        <v/>
      </c>
      <c r="AC44" s="926" t="n">
        <v>0</v>
      </c>
      <c r="AD44" s="1553" t="n"/>
      <c r="AE44" s="1553" t="n"/>
      <c r="AF44" s="1553" t="n"/>
      <c r="AG44" s="1553" t="n"/>
      <c r="AH44" s="1554" t="n"/>
      <c r="AL44" s="1567" t="n"/>
    </row>
    <row r="45" ht="13.8" customFormat="1" customHeight="1" s="56">
      <c r="A45" s="1214" t="n"/>
      <c r="B45" s="950" t="inlineStr">
        <is>
          <t>Ingresos no constitutivos de renta ni ganancia ocasional</t>
        </is>
      </c>
      <c r="J45" s="1529" t="n"/>
      <c r="K45" s="74">
        <f>+K44+1</f>
        <v/>
      </c>
      <c r="L45" s="928" t="n">
        <v>0</v>
      </c>
      <c r="M45" s="1553" t="n"/>
      <c r="N45" s="1553" t="n"/>
      <c r="O45" s="1553" t="n"/>
      <c r="P45" s="1553" t="n"/>
      <c r="Q45" s="1554" t="n"/>
      <c r="R45" s="1214" t="n"/>
      <c r="S45" s="927" t="inlineStr">
        <is>
          <t>Anticipo renta liquidado  año gravable anterior</t>
        </is>
      </c>
      <c r="AA45" s="1529" t="n"/>
      <c r="AB45" s="74">
        <f>AB44+1</f>
        <v/>
      </c>
      <c r="AC45" s="928" t="n">
        <v>0</v>
      </c>
      <c r="AD45" s="1553" t="n"/>
      <c r="AE45" s="1553" t="n"/>
      <c r="AF45" s="1553" t="n"/>
      <c r="AG45" s="1553" t="n"/>
      <c r="AH45" s="1554" t="n"/>
    </row>
    <row r="46" ht="13.8" customFormat="1" customHeight="1" s="56">
      <c r="A46" s="1229" t="n"/>
      <c r="B46" s="961" t="inlineStr">
        <is>
          <t>Total ingresos netos (53 - 54 - 55)</t>
        </is>
      </c>
      <c r="C46" s="1537" t="n"/>
      <c r="D46" s="1537" t="n"/>
      <c r="E46" s="1537" t="n"/>
      <c r="F46" s="1537" t="n"/>
      <c r="G46" s="1537" t="n"/>
      <c r="H46" s="1537" t="n"/>
      <c r="I46" s="1537" t="n"/>
      <c r="J46" s="1555" t="n"/>
      <c r="K46" s="81">
        <f>+K45+1</f>
        <v/>
      </c>
      <c r="L46" s="962">
        <f>L43-L44-L45</f>
        <v/>
      </c>
      <c r="M46" s="1556" t="n"/>
      <c r="N46" s="1556" t="n"/>
      <c r="O46" s="1556" t="n"/>
      <c r="P46" s="1556" t="n"/>
      <c r="Q46" s="1557" t="n"/>
      <c r="R46" s="1214" t="n"/>
      <c r="S46" s="925" t="inlineStr">
        <is>
          <t>Saldo a favor año gravable anterior sin solicitud de
devolución y/o compensación</t>
        </is>
      </c>
      <c r="AA46" s="1529" t="n"/>
      <c r="AB46" s="73">
        <f>AB45+1</f>
        <v/>
      </c>
      <c r="AC46" s="926" t="n">
        <v>0</v>
      </c>
      <c r="AD46" s="1553" t="n"/>
      <c r="AE46" s="1553" t="n"/>
      <c r="AF46" s="1553" t="n"/>
      <c r="AG46" s="1553" t="n"/>
      <c r="AH46" s="1554" t="n"/>
    </row>
    <row r="47" ht="13.8" customFormat="1" customHeight="1" s="56">
      <c r="A47" s="1547" t="inlineStr">
        <is>
          <t>Costos y Deducciones</t>
        </is>
      </c>
      <c r="B47" s="1548" t="inlineStr">
        <is>
          <t>Costos</t>
        </is>
      </c>
      <c r="C47" s="1530" t="n"/>
      <c r="D47" s="1530" t="n"/>
      <c r="E47" s="1530" t="n"/>
      <c r="F47" s="1530" t="n"/>
      <c r="G47" s="1530" t="n"/>
      <c r="H47" s="1530" t="n"/>
      <c r="I47" s="1530" t="n"/>
      <c r="J47" s="1539" t="n"/>
      <c r="K47" s="72">
        <f>+K46+1</f>
        <v/>
      </c>
      <c r="L47" s="1549" t="n">
        <v>0</v>
      </c>
      <c r="M47" s="1550" t="n"/>
      <c r="N47" s="1550" t="n"/>
      <c r="O47" s="1550" t="n"/>
      <c r="P47" s="1550" t="n"/>
      <c r="Q47" s="1551" t="n"/>
      <c r="R47" s="1214" t="n"/>
      <c r="S47" s="1552" t="inlineStr">
        <is>
          <t>Retenciones</t>
        </is>
      </c>
      <c r="T47" s="927" t="inlineStr">
        <is>
          <t>Autorretenciones</t>
        </is>
      </c>
      <c r="AA47" s="1529" t="n"/>
      <c r="AB47" s="74">
        <f>AB46+1</f>
        <v/>
      </c>
      <c r="AC47" s="928" t="n">
        <v>0</v>
      </c>
      <c r="AD47" s="1553" t="n"/>
      <c r="AE47" s="1553" t="n"/>
      <c r="AF47" s="1553" t="n"/>
      <c r="AG47" s="1553" t="n"/>
      <c r="AH47" s="1554" t="n"/>
    </row>
    <row r="48" ht="13.8" customFormat="1" customHeight="1" s="56">
      <c r="A48" s="1214" t="n"/>
      <c r="B48" s="925" t="inlineStr">
        <is>
          <t>Gastos de administración</t>
        </is>
      </c>
      <c r="J48" s="1529" t="n"/>
      <c r="K48" s="73">
        <f>+K47+1</f>
        <v/>
      </c>
      <c r="L48" s="926" t="n">
        <v>0</v>
      </c>
      <c r="M48" s="1553" t="n"/>
      <c r="N48" s="1553" t="n"/>
      <c r="O48" s="1553" t="n"/>
      <c r="P48" s="1553" t="n"/>
      <c r="Q48" s="1554" t="n"/>
      <c r="R48" s="1214" t="n"/>
      <c r="S48" s="1214" t="n"/>
      <c r="T48" s="960" t="inlineStr">
        <is>
          <t>Otras retenciones</t>
        </is>
      </c>
      <c r="AA48" s="1529" t="n"/>
      <c r="AB48" s="73">
        <f>AB47+1</f>
        <v/>
      </c>
      <c r="AC48" s="926" t="n">
        <v>0</v>
      </c>
      <c r="AD48" s="1553" t="n"/>
      <c r="AE48" s="1553" t="n"/>
      <c r="AF48" s="1553" t="n"/>
      <c r="AG48" s="1553" t="n"/>
      <c r="AH48" s="1554" t="n"/>
    </row>
    <row r="49" ht="13.8" customFormat="1" customHeight="1" s="56">
      <c r="A49" s="1214" t="n"/>
      <c r="B49" s="927" t="inlineStr">
        <is>
          <t>Gastos de distribución y ventas</t>
        </is>
      </c>
      <c r="J49" s="1529" t="n"/>
      <c r="K49" s="74">
        <f>+K48+1</f>
        <v/>
      </c>
      <c r="L49" s="928" t="n">
        <v>0</v>
      </c>
      <c r="M49" s="1553" t="n"/>
      <c r="N49" s="1553" t="n"/>
      <c r="O49" s="1553" t="n"/>
      <c r="P49" s="1553" t="n"/>
      <c r="Q49" s="1554" t="n"/>
      <c r="R49" s="1214" t="n"/>
      <c r="S49" s="1229" t="n"/>
      <c r="T49" s="927" t="inlineStr">
        <is>
          <t>Total retenciones año gravable a declarar (93 + 94)</t>
        </is>
      </c>
      <c r="AA49" s="1529" t="n"/>
      <c r="AB49" s="74">
        <f>AB48+1</f>
        <v/>
      </c>
      <c r="AC49" s="957">
        <f>AC47+AC48</f>
        <v/>
      </c>
      <c r="AD49" s="1553" t="n"/>
      <c r="AE49" s="1553" t="n"/>
      <c r="AF49" s="1553" t="n"/>
      <c r="AG49" s="1553" t="n"/>
      <c r="AH49" s="1554" t="n"/>
      <c r="AL49" s="1563" t="n"/>
    </row>
    <row r="50" ht="13.8" customFormat="1" customHeight="1" s="56">
      <c r="A50" s="1214" t="n"/>
      <c r="B50" s="925" t="inlineStr">
        <is>
          <t>Gastos financieros</t>
        </is>
      </c>
      <c r="J50" s="1529" t="n"/>
      <c r="K50" s="73">
        <f>+K49+1</f>
        <v/>
      </c>
      <c r="L50" s="926" t="n">
        <v>0</v>
      </c>
      <c r="M50" s="1553" t="n"/>
      <c r="N50" s="1553" t="n"/>
      <c r="O50" s="1553" t="n"/>
      <c r="P50" s="1553" t="n"/>
      <c r="Q50" s="1554" t="n"/>
      <c r="R50" s="1214" t="n"/>
      <c r="S50" s="925" t="inlineStr">
        <is>
          <t>Anticipo renta para el año gravable siguiente</t>
        </is>
      </c>
      <c r="AA50" s="1529" t="n"/>
      <c r="AB50" s="73">
        <f>AB49+1</f>
        <v/>
      </c>
      <c r="AC50" s="926" t="n">
        <v>0</v>
      </c>
      <c r="AD50" s="1553" t="n"/>
      <c r="AE50" s="1553" t="n"/>
      <c r="AF50" s="1553" t="n"/>
      <c r="AG50" s="1553" t="n"/>
      <c r="AH50" s="1554" t="n"/>
      <c r="AL50" s="56" t="n"/>
    </row>
    <row r="51" ht="13.8" customFormat="1" customHeight="1" s="56">
      <c r="A51" s="1214" t="n"/>
      <c r="B51" s="966" t="inlineStr">
        <is>
          <t>Otros gastos y deducciones</t>
        </is>
      </c>
      <c r="J51" s="1529" t="n"/>
      <c r="K51" s="74">
        <f>+K50+1</f>
        <v/>
      </c>
      <c r="L51" s="928" t="n">
        <v>0</v>
      </c>
      <c r="M51" s="1553" t="n"/>
      <c r="N51" s="1553" t="n"/>
      <c r="O51" s="1553" t="n"/>
      <c r="P51" s="1553" t="n"/>
      <c r="Q51" s="1554" t="n"/>
      <c r="R51" s="1214" t="n"/>
      <c r="S51" s="1552" t="inlineStr">
        <is>
          <t>Sobretasa instituciones financieras</t>
        </is>
      </c>
      <c r="T51" s="927" t="inlineStr">
        <is>
          <t>Anticipo sobretasa instituciones financieras año gravable anterior</t>
        </is>
      </c>
      <c r="AA51" s="1529" t="n"/>
      <c r="AB51" s="74">
        <f>AB50+1</f>
        <v/>
      </c>
      <c r="AC51" s="957" t="n">
        <v>0</v>
      </c>
      <c r="AD51" s="1553" t="n"/>
      <c r="AE51" s="1553" t="n"/>
      <c r="AF51" s="1553" t="n"/>
      <c r="AG51" s="1553" t="n"/>
      <c r="AH51" s="1554" t="n"/>
    </row>
    <row r="52" ht="13.8" customFormat="1" customHeight="1" s="56">
      <c r="A52" s="1229" t="n"/>
      <c r="B52" s="970" t="inlineStr">
        <is>
          <t>Total costos y gastos deducibles (57 + 58 + 59 + 60 + 61)</t>
        </is>
      </c>
      <c r="C52" s="1537" t="n"/>
      <c r="D52" s="1537" t="n"/>
      <c r="E52" s="1537" t="n"/>
      <c r="F52" s="1537" t="n"/>
      <c r="G52" s="1537" t="n"/>
      <c r="H52" s="1537" t="n"/>
      <c r="I52" s="1537" t="n"/>
      <c r="J52" s="1555" t="n"/>
      <c r="K52" s="81">
        <f>+K51+1</f>
        <v/>
      </c>
      <c r="L52" s="962">
        <f>SUM(L47:Q51)</f>
        <v/>
      </c>
      <c r="M52" s="1556" t="n"/>
      <c r="N52" s="1556" t="n"/>
      <c r="O52" s="1556" t="n"/>
      <c r="P52" s="1556" t="n"/>
      <c r="Q52" s="1557" t="n"/>
      <c r="R52" s="1214" t="n"/>
      <c r="S52" s="1214" t="n"/>
      <c r="T52" s="925" t="inlineStr">
        <is>
          <t>Sobretasa instituciones financieras</t>
        </is>
      </c>
      <c r="AA52" s="1529" t="n"/>
      <c r="AB52" s="73">
        <f>AB51+1</f>
        <v/>
      </c>
      <c r="AC52" s="926" t="n">
        <v>0</v>
      </c>
      <c r="AD52" s="1553" t="n"/>
      <c r="AE52" s="1553" t="n"/>
      <c r="AF52" s="1553" t="n"/>
      <c r="AG52" s="1553" t="n"/>
      <c r="AH52" s="1554" t="n"/>
    </row>
    <row r="53" ht="13.8" customFormat="1" customHeight="1" s="56">
      <c r="A53" s="1552" t="inlineStr">
        <is>
          <t>ESAL 
(R.T.E.)</t>
        </is>
      </c>
      <c r="B53" s="1568" t="inlineStr">
        <is>
          <t>Inversiones efectuadas en el año</t>
        </is>
      </c>
      <c r="C53" s="1530" t="n"/>
      <c r="D53" s="1530" t="n"/>
      <c r="E53" s="1530" t="n"/>
      <c r="F53" s="1530" t="n"/>
      <c r="G53" s="1530" t="n"/>
      <c r="H53" s="1530" t="n"/>
      <c r="I53" s="1530" t="n"/>
      <c r="J53" s="1539" t="n"/>
      <c r="K53" s="72">
        <f>+K52+1</f>
        <v/>
      </c>
      <c r="L53" s="1549" t="n">
        <v>0</v>
      </c>
      <c r="M53" s="1550" t="n"/>
      <c r="N53" s="1550" t="n"/>
      <c r="O53" s="1550" t="n"/>
      <c r="P53" s="1550" t="n"/>
      <c r="Q53" s="1551" t="n"/>
      <c r="R53" s="1214" t="n"/>
      <c r="S53" s="1229" t="n"/>
      <c r="T53" s="927" t="inlineStr">
        <is>
          <t>Anticipo sobretasa instituciones financieras año gravable siguiente</t>
        </is>
      </c>
      <c r="AA53" s="1529" t="n"/>
      <c r="AB53" s="74">
        <f>AB52+1</f>
        <v/>
      </c>
      <c r="AC53" s="957" t="n">
        <v>0</v>
      </c>
      <c r="AD53" s="1553" t="n"/>
      <c r="AE53" s="1553" t="n"/>
      <c r="AF53" s="1553" t="n"/>
      <c r="AG53" s="1553" t="n"/>
      <c r="AH53" s="1554" t="n"/>
      <c r="AK53" s="692" t="n"/>
    </row>
    <row r="54" ht="13.8" customFormat="1" customHeight="1" s="56">
      <c r="A54" s="1229" t="n"/>
      <c r="B54" s="946" t="inlineStr">
        <is>
          <t>Inversiones liquidadas de periodos gravables anteriores</t>
        </is>
      </c>
      <c r="C54" s="1537" t="n"/>
      <c r="D54" s="1537" t="n"/>
      <c r="E54" s="1537" t="n"/>
      <c r="F54" s="1537" t="n"/>
      <c r="G54" s="1537" t="n"/>
      <c r="H54" s="1537" t="n"/>
      <c r="I54" s="1537" t="n"/>
      <c r="J54" s="1555" t="n"/>
      <c r="K54" s="80">
        <f>+K53+1</f>
        <v/>
      </c>
      <c r="L54" s="947" t="n">
        <v>0</v>
      </c>
      <c r="M54" s="1556" t="n"/>
      <c r="N54" s="1556" t="n"/>
      <c r="O54" s="1556" t="n"/>
      <c r="P54" s="1556" t="n"/>
      <c r="Q54" s="1557" t="n"/>
      <c r="R54" s="1214" t="n"/>
      <c r="S54" s="965" t="inlineStr">
        <is>
          <t>Saldo a pagar por impuesto (88 + 96 + 98 + 99 - 89 - 90 - 91 - 92 - 95 - 97)</t>
        </is>
      </c>
      <c r="AA54" s="1529" t="n"/>
      <c r="AB54" s="73">
        <f>AB53+1</f>
        <v/>
      </c>
      <c r="AC54" s="935">
        <f>IF(AC42+AC50+AC52+AC53-AC43-AC44-AC45-AC46-AC49-AC51&lt;0,0,AC42+AC50+AC52+AC53-AC43-AC44-AC45-AC46-AC49-AC51)</f>
        <v/>
      </c>
      <c r="AD54" s="1553" t="n"/>
      <c r="AE54" s="1553" t="n"/>
      <c r="AF54" s="1553" t="n"/>
      <c r="AG54" s="1553" t="n"/>
      <c r="AH54" s="1554" t="n"/>
    </row>
    <row r="55" ht="13.8" customFormat="1" customHeight="1" s="56">
      <c r="A55" s="1552" t="inlineStr">
        <is>
          <t>Renta</t>
        </is>
      </c>
      <c r="B55" s="1548" t="inlineStr">
        <is>
          <t>Renta por recuperación de deducciones</t>
        </is>
      </c>
      <c r="C55" s="1530" t="n"/>
      <c r="D55" s="1530" t="n"/>
      <c r="E55" s="1530" t="n"/>
      <c r="F55" s="1530" t="n"/>
      <c r="G55" s="1530" t="n"/>
      <c r="H55" s="1530" t="n"/>
      <c r="I55" s="1530" t="n"/>
      <c r="J55" s="1539" t="n"/>
      <c r="K55" s="72">
        <f>+K54+1</f>
        <v/>
      </c>
      <c r="L55" s="1549" t="n">
        <v>0</v>
      </c>
      <c r="M55" s="1550" t="n"/>
      <c r="N55" s="1550" t="n"/>
      <c r="O55" s="1550" t="n"/>
      <c r="P55" s="1550" t="n"/>
      <c r="Q55" s="1551" t="n"/>
      <c r="R55" s="1214" t="n"/>
      <c r="S55" s="927" t="inlineStr">
        <is>
          <t>Sanciones</t>
        </is>
      </c>
      <c r="AA55" s="1529" t="n"/>
      <c r="AB55" s="74">
        <f>AB54+1</f>
        <v/>
      </c>
      <c r="AC55" s="928" t="n">
        <v>0</v>
      </c>
      <c r="AD55" s="1553" t="n"/>
      <c r="AE55" s="1553" t="n"/>
      <c r="AF55" s="1553" t="n"/>
      <c r="AG55" s="1553" t="n"/>
      <c r="AH55" s="1554" t="n"/>
    </row>
    <row r="56" ht="13.8" customFormat="1" customHeight="1" s="56">
      <c r="A56" s="1214" t="n"/>
      <c r="B56" s="925" t="inlineStr">
        <is>
          <t>Renta Pasiva - ECE sin residencia fiscal en Colombia</t>
        </is>
      </c>
      <c r="J56" s="1529" t="n"/>
      <c r="K56" s="73">
        <f>+K55+1</f>
        <v/>
      </c>
      <c r="L56" s="926" t="n">
        <v>0</v>
      </c>
      <c r="M56" s="1553" t="n"/>
      <c r="N56" s="1553" t="n"/>
      <c r="O56" s="1553" t="n"/>
      <c r="P56" s="1553" t="n"/>
      <c r="Q56" s="1554" t="n"/>
      <c r="R56" s="1214" t="n"/>
      <c r="S56" s="965" t="inlineStr">
        <is>
          <t>Total saldo a pagar (88 + 96 + 98 + 99 + 101 - 89 - 90 - 91 - 92 - 95 - 97)</t>
        </is>
      </c>
      <c r="AA56" s="1529" t="n"/>
      <c r="AB56" s="73">
        <f>AB55+1</f>
        <v/>
      </c>
      <c r="AC56" s="935">
        <f>IF(AC42+AC50+AC52+AC53+AC55-AC43-AC44-AC45-AC46-AC49-AC51&lt;0,0,AC42+AC50+AC52+AC53+AC55-AC43-AC44-AC45-AC46-AC49-AC51)</f>
        <v/>
      </c>
      <c r="AD56" s="1553" t="n"/>
      <c r="AE56" s="1553" t="n"/>
      <c r="AF56" s="1553" t="n"/>
      <c r="AG56" s="1553" t="n"/>
      <c r="AH56" s="1554" t="n"/>
      <c r="AJ56" s="1563" t="n"/>
      <c r="AL56" s="56" t="n"/>
    </row>
    <row r="57" ht="13.8" customFormat="1" customHeight="1" s="56">
      <c r="A57" s="1214" t="n"/>
      <c r="B57" s="931" t="inlineStr">
        <is>
          <t>Renta líquida ordinaria del ejercicio (56 + 64 + 65 + 66 - 49 - 50 - 51 - 62 - 63)</t>
        </is>
      </c>
      <c r="J57" s="1529" t="n"/>
      <c r="K57" s="74">
        <f>+K56+1</f>
        <v/>
      </c>
      <c r="L57" s="932">
        <f>IF(L46+L54+L55+L56-L39-L40-L41-L52-L53&lt;0,0,L46+L54+L55+L56-L39-L40-L41-L52-L53)</f>
        <v/>
      </c>
      <c r="M57" s="1553" t="n"/>
      <c r="N57" s="1553" t="n"/>
      <c r="O57" s="1553" t="n"/>
      <c r="P57" s="1553" t="n"/>
      <c r="Q57" s="1554" t="n"/>
      <c r="R57" s="1214" t="n"/>
      <c r="S57" s="949" t="inlineStr">
        <is>
          <t xml:space="preserve">Total saldo a favor (89 + 90 + 91 + 92 + 95 + 97 - 88 - 96 - 98 - 99 - 101)   </t>
        </is>
      </c>
      <c r="AA57" s="1529" t="n"/>
      <c r="AB57" s="74">
        <f>AB56+1</f>
        <v/>
      </c>
      <c r="AC57" s="932">
        <f>IF(AC43+AC44+AC45+AC46+AC49+AC51-AC42-AC50-AC52-AC53-AC55&lt;0,0,(AC43+AC44+AC45+AC46+AC49+AC51-AC42-AC50-AC52-AC53-AC55))</f>
        <v/>
      </c>
      <c r="AD57" s="1553" t="n"/>
      <c r="AE57" s="1553" t="n"/>
      <c r="AF57" s="1553" t="n"/>
      <c r="AG57" s="1553" t="n"/>
      <c r="AH57" s="1554" t="n"/>
    </row>
    <row r="58" ht="13.8" customFormat="1" customHeight="1" s="56">
      <c r="A58" s="1229" t="n"/>
      <c r="B58" s="975" t="inlineStr">
        <is>
          <t>Pérdida líquida del ejercicio (49 + 50 + 51 + 62 + 63 - 56 - 64 - 65 - 66)</t>
        </is>
      </c>
      <c r="C58" s="1537" t="n"/>
      <c r="D58" s="1537" t="n"/>
      <c r="E58" s="1537" t="n"/>
      <c r="F58" s="1537" t="n"/>
      <c r="G58" s="1537" t="n"/>
      <c r="H58" s="1537" t="n"/>
      <c r="I58" s="1537" t="n"/>
      <c r="J58" s="1555" t="n"/>
      <c r="K58" s="80">
        <f>+K57+1</f>
        <v/>
      </c>
      <c r="L58" s="947">
        <f>IF(L39+L40+L41+L52+L53-L46-L54-L55-L56&lt;0,0,L39+L40+L41+L52+L53-L46-L54-L55-L56)</f>
        <v/>
      </c>
      <c r="M58" s="1556" t="n"/>
      <c r="N58" s="1556" t="n"/>
      <c r="O58" s="1556" t="n"/>
      <c r="P58" s="1556" t="n"/>
      <c r="Q58" s="1557" t="n"/>
      <c r="R58" s="1569" t="inlineStr">
        <is>
          <t>Valor impuesto exigible por Obras por Impuestos modalidad de pago 1</t>
        </is>
      </c>
      <c r="S58" s="1530" t="n"/>
      <c r="T58" s="1530" t="n"/>
      <c r="U58" s="1530" t="n"/>
      <c r="V58" s="1530" t="n"/>
      <c r="W58" s="1530" t="n"/>
      <c r="X58" s="1530" t="n"/>
      <c r="Y58" s="1530" t="n"/>
      <c r="Z58" s="1530" t="n"/>
      <c r="AA58" s="1539" t="n"/>
      <c r="AB58" s="79">
        <f>AB57+1</f>
        <v/>
      </c>
      <c r="AC58" s="1562">
        <f>IF(AC43&gt;0,AC43,0)</f>
        <v/>
      </c>
      <c r="AD58" s="1550" t="n"/>
      <c r="AE58" s="1550" t="n"/>
      <c r="AF58" s="1550" t="n"/>
      <c r="AG58" s="1550" t="n"/>
      <c r="AH58" s="1551" t="n"/>
    </row>
    <row r="59" ht="13.8" customFormat="1" customHeight="1" s="56">
      <c r="A59" s="971" t="inlineStr">
        <is>
          <t>106. No. Identificación signatario</t>
        </is>
      </c>
      <c r="B59" s="1527" t="n"/>
      <c r="C59" s="1527" t="n"/>
      <c r="D59" s="1527" t="n"/>
      <c r="E59" s="1527" t="n"/>
      <c r="F59" s="1527" t="n"/>
      <c r="G59" s="1527" t="n"/>
      <c r="H59" s="1528" t="n"/>
      <c r="I59" s="972" t="n"/>
      <c r="J59" s="1528" t="n"/>
      <c r="K59" s="899" t="inlineStr">
        <is>
          <t>107. DV</t>
        </is>
      </c>
      <c r="L59" s="1527" t="n"/>
      <c r="M59" s="1528" t="n"/>
      <c r="N59" s="973" t="n"/>
      <c r="O59" s="1527" t="n"/>
      <c r="P59" s="1527" t="n"/>
      <c r="Q59" s="1528" t="n"/>
      <c r="R59" s="940" t="inlineStr">
        <is>
          <t>Valor total proyecto Obras por Impuestos modalidad de pago 2</t>
        </is>
      </c>
      <c r="S59" s="1537" t="n"/>
      <c r="T59" s="1537" t="n"/>
      <c r="U59" s="1537" t="n"/>
      <c r="V59" s="1537" t="n"/>
      <c r="W59" s="1537" t="n"/>
      <c r="X59" s="1537" t="n"/>
      <c r="Y59" s="1537" t="n"/>
      <c r="Z59" s="1537" t="n"/>
      <c r="AA59" s="1555" t="n"/>
      <c r="AB59" s="82">
        <f>AB58+1</f>
        <v/>
      </c>
      <c r="AC59" s="941" t="n">
        <v>0</v>
      </c>
      <c r="AD59" s="1556" t="n"/>
      <c r="AE59" s="1556" t="n"/>
      <c r="AF59" s="1556" t="n"/>
      <c r="AG59" s="1556" t="n"/>
      <c r="AH59" s="1557" t="n"/>
    </row>
    <row r="60" ht="41.25" customFormat="1" customHeight="1" s="56">
      <c r="A60" s="83" t="inlineStr">
        <is>
          <t>981. Cód. Representación</t>
        </is>
      </c>
      <c r="B60" s="988" t="n"/>
      <c r="C60" s="988" t="n"/>
      <c r="D60" s="988" t="n"/>
      <c r="E60" s="85" t="inlineStr"/>
      <c r="F60" s="1570" t="n"/>
      <c r="G60" s="1530" t="n"/>
      <c r="H60" s="1530" t="n"/>
      <c r="I60" s="1539" t="n"/>
      <c r="J60" s="86" t="inlineStr">
        <is>
          <t xml:space="preserve">997. Espacio exclusivo para el sello de la entidad recaudadora   </t>
        </is>
      </c>
      <c r="K60" s="87" t="n"/>
      <c r="L60" s="87" t="n"/>
      <c r="M60" s="87" t="n"/>
      <c r="N60" s="87" t="n"/>
      <c r="O60" s="87" t="n"/>
      <c r="P60" s="88" t="n"/>
      <c r="Q60" s="88" t="n"/>
      <c r="R60" s="88" t="n"/>
      <c r="S60" s="88" t="n"/>
      <c r="T60" s="89" t="n"/>
      <c r="U60" s="1571" t="inlineStr">
        <is>
          <t>980. Pago total $</t>
        </is>
      </c>
      <c r="V60" s="1530" t="n"/>
      <c r="W60" s="1530" t="n"/>
      <c r="X60" s="1530" t="n"/>
      <c r="Y60" s="1530" t="n"/>
      <c r="Z60" s="1570" t="n"/>
      <c r="AA60" s="1530" t="n"/>
      <c r="AB60" s="1530" t="n"/>
      <c r="AC60" s="1530" t="n"/>
      <c r="AD60" s="1530" t="n"/>
      <c r="AE60" s="1530" t="n"/>
      <c r="AF60" s="1530" t="n"/>
      <c r="AG60" s="1530" t="n"/>
      <c r="AH60" s="1539" t="n"/>
    </row>
    <row r="61" ht="13.8" customFormat="1" customHeight="1" s="56">
      <c r="A61" s="90" t="inlineStr">
        <is>
          <t>Firme del declarante o de quien lo representa</t>
        </is>
      </c>
      <c r="B61" s="984" t="n"/>
      <c r="C61" s="984" t="n"/>
      <c r="D61" s="984" t="n"/>
      <c r="E61" s="92" t="n"/>
      <c r="F61" s="93" t="n"/>
      <c r="G61" s="996" t="n"/>
      <c r="H61" s="997" t="n"/>
      <c r="I61" s="1529" t="n"/>
      <c r="J61" s="95" t="n"/>
      <c r="K61" s="96" t="n"/>
      <c r="L61" s="96" t="n"/>
      <c r="M61" s="96" t="n"/>
      <c r="N61" s="96" t="n"/>
      <c r="O61" s="96" t="n"/>
      <c r="P61" s="96" t="n"/>
      <c r="Q61" s="96" t="n"/>
      <c r="R61" s="96" t="n"/>
      <c r="S61" s="96" t="n"/>
      <c r="T61" s="97" t="n"/>
      <c r="U61" s="1536" t="n"/>
      <c r="AH61" s="1529" t="n"/>
    </row>
    <row r="62" ht="9" customFormat="1" customHeight="1" s="56">
      <c r="A62" s="1572" t="n"/>
      <c r="I62" s="1529" t="n"/>
      <c r="J62" s="95" t="n"/>
      <c r="K62" s="96" t="n"/>
      <c r="L62" s="96" t="n"/>
      <c r="M62" s="96" t="n"/>
      <c r="N62" s="96" t="n"/>
      <c r="O62" s="96" t="n"/>
      <c r="P62" s="96" t="n"/>
      <c r="Q62" s="96" t="n"/>
      <c r="R62" s="96" t="n"/>
      <c r="S62" s="96" t="n"/>
      <c r="T62" s="97" t="n"/>
      <c r="U62" s="1536" t="n"/>
      <c r="Z62" s="1573" t="n"/>
      <c r="AA62" s="1527" t="n"/>
      <c r="AB62" s="1527" t="n"/>
      <c r="AC62" s="1527" t="n"/>
      <c r="AD62" s="1527" t="n"/>
      <c r="AE62" s="1527" t="n"/>
      <c r="AF62" s="1528" t="n"/>
      <c r="AG62" s="997" t="n"/>
      <c r="AH62" s="1529" t="n"/>
    </row>
    <row r="63" ht="9" customFormat="1" customHeight="1" s="56">
      <c r="A63" s="1536" t="n"/>
      <c r="I63" s="1529" t="n"/>
      <c r="J63" s="95" t="n"/>
      <c r="K63" s="96" t="n"/>
      <c r="L63" s="96" t="n"/>
      <c r="M63" s="96" t="n"/>
      <c r="N63" s="96" t="n"/>
      <c r="O63" s="96" t="n"/>
      <c r="P63" s="96" t="n"/>
      <c r="Q63" s="96" t="n"/>
      <c r="R63" s="96" t="n"/>
      <c r="S63" s="96" t="n"/>
      <c r="T63" s="97" t="n"/>
      <c r="U63" s="1574" t="n"/>
      <c r="V63" s="1575" t="n"/>
      <c r="W63" s="1575" t="n"/>
      <c r="X63" s="1575" t="n"/>
      <c r="Y63" s="1575" t="n"/>
      <c r="Z63" s="1004" t="n"/>
      <c r="AA63" s="1537" t="n"/>
      <c r="AB63" s="1537" t="n"/>
      <c r="AC63" s="1537" t="n"/>
      <c r="AD63" s="1537" t="n"/>
      <c r="AE63" s="1537" t="n"/>
      <c r="AF63" s="1537" t="n"/>
      <c r="AG63" s="1537" t="n"/>
      <c r="AH63" s="1555" t="n"/>
    </row>
    <row r="64" ht="9" customFormat="1" customHeight="1" s="56">
      <c r="A64" s="1341" t="n"/>
      <c r="B64" s="1537" t="n"/>
      <c r="C64" s="1537" t="n"/>
      <c r="D64" s="1537" t="n"/>
      <c r="E64" s="1537" t="n"/>
      <c r="F64" s="1537" t="n"/>
      <c r="G64" s="1537" t="n"/>
      <c r="H64" s="1537" t="n"/>
      <c r="I64" s="1555" t="n"/>
      <c r="J64" s="95" t="n"/>
      <c r="K64" s="96" t="n"/>
      <c r="L64" s="96" t="n"/>
      <c r="M64" s="96" t="n"/>
      <c r="N64" s="96" t="n"/>
      <c r="O64" s="96" t="n"/>
      <c r="P64" s="96" t="n"/>
      <c r="Q64" s="96" t="n"/>
      <c r="R64" s="96" t="n"/>
      <c r="S64" s="96" t="n"/>
      <c r="T64" s="97" t="n"/>
      <c r="U64" s="1576" t="inlineStr">
        <is>
          <t>996. Espacio para el número interno de la DIAN / Adhesivo</t>
        </is>
      </c>
      <c r="AH64" s="1529" t="n"/>
    </row>
    <row r="65" ht="13.8" customFormat="1" customHeight="1" s="56">
      <c r="A65" s="83" t="inlineStr">
        <is>
          <t>982. Código Contador o Revisor Fiscal:</t>
        </is>
      </c>
      <c r="B65" s="991" t="n"/>
      <c r="C65" s="991" t="n"/>
      <c r="D65" s="99" t="n"/>
      <c r="E65" s="99" t="n"/>
      <c r="F65" s="99" t="n"/>
      <c r="G65" s="100" t="n"/>
      <c r="H65" s="991" t="n"/>
      <c r="I65" s="101" t="n"/>
      <c r="J65" s="95" t="n"/>
      <c r="K65" s="96" t="n"/>
      <c r="L65" s="96" t="n"/>
      <c r="M65" s="96" t="n"/>
      <c r="N65" s="96" t="n"/>
      <c r="O65" s="96" t="n"/>
      <c r="P65" s="96" t="n"/>
      <c r="Q65" s="96" t="n"/>
      <c r="R65" s="96" t="n"/>
      <c r="S65" s="96" t="n"/>
      <c r="T65" s="97" t="n"/>
      <c r="U65" s="1577" t="n"/>
      <c r="AH65" s="1529" t="n"/>
    </row>
    <row r="66" ht="13.8" customFormat="1" customHeight="1" s="56">
      <c r="A66" s="102" t="inlineStr">
        <is>
          <t>Firma Contador o Revisor fiscal</t>
        </is>
      </c>
      <c r="B66" s="984" t="n"/>
      <c r="C66" s="984" t="n"/>
      <c r="D66" s="984" t="n"/>
      <c r="E66" s="984" t="n"/>
      <c r="F66" s="984" t="inlineStr">
        <is>
          <t>994. Con salvedades</t>
        </is>
      </c>
      <c r="I66" s="100" t="n"/>
      <c r="J66" s="95" t="n"/>
      <c r="K66" s="96" t="n"/>
      <c r="L66" s="96" t="n"/>
      <c r="M66" s="96" t="n"/>
      <c r="N66" s="96" t="n"/>
      <c r="O66" s="96" t="n"/>
      <c r="P66" s="96" t="n"/>
      <c r="Q66" s="96" t="n"/>
      <c r="R66" s="96" t="n"/>
      <c r="S66" s="96" t="n"/>
      <c r="T66" s="97" t="n"/>
      <c r="U66" s="1536" t="n"/>
      <c r="AH66" s="1529" t="n"/>
    </row>
    <row r="67" ht="13.8" customFormat="1" customHeight="1" s="56">
      <c r="A67" s="998" t="n"/>
      <c r="B67" s="996" t="n"/>
      <c r="C67" s="996" t="n"/>
      <c r="D67" s="996" t="n"/>
      <c r="E67" s="996" t="n"/>
      <c r="F67" s="996" t="n"/>
      <c r="G67" s="996" t="n"/>
      <c r="H67" s="996" t="n"/>
      <c r="I67" s="997" t="n"/>
      <c r="J67" s="95" t="n"/>
      <c r="K67" s="96" t="n"/>
      <c r="L67" s="96" t="n"/>
      <c r="M67" s="96" t="n"/>
      <c r="N67" s="96" t="n"/>
      <c r="O67" s="96" t="n"/>
      <c r="P67" s="96" t="n"/>
      <c r="Q67" s="96" t="n"/>
      <c r="R67" s="96" t="n"/>
      <c r="S67" s="96" t="n"/>
      <c r="T67" s="97" t="n"/>
      <c r="U67" s="1536" t="n"/>
      <c r="AH67" s="1529" t="n"/>
    </row>
    <row r="68" ht="13.8" customFormat="1" customHeight="1" s="56">
      <c r="A68" s="998" t="n"/>
      <c r="B68" s="996" t="n"/>
      <c r="C68" s="996" t="n"/>
      <c r="D68" s="996" t="n"/>
      <c r="E68" s="996" t="n"/>
      <c r="F68" s="996" t="n"/>
      <c r="G68" s="996" t="n"/>
      <c r="H68" s="996" t="n"/>
      <c r="I68" s="997" t="n"/>
      <c r="J68" s="95" t="n"/>
      <c r="K68" s="96" t="n"/>
      <c r="L68" s="96" t="n"/>
      <c r="M68" s="96" t="n"/>
      <c r="N68" s="96" t="n"/>
      <c r="O68" s="96" t="n"/>
      <c r="P68" s="96" t="n"/>
      <c r="Q68" s="96" t="n"/>
      <c r="R68" s="96" t="n"/>
      <c r="S68" s="96" t="n"/>
      <c r="T68" s="97" t="n"/>
      <c r="U68" s="1536" t="n"/>
      <c r="AH68" s="1529" t="n"/>
    </row>
    <row r="69" ht="13.8" customFormat="1" customHeight="1" s="56">
      <c r="A69" s="105" t="inlineStr">
        <is>
          <t>983. No. Tarjeta profesional</t>
        </is>
      </c>
      <c r="B69" s="106" t="n"/>
      <c r="C69" s="106" t="n"/>
      <c r="D69" s="106" t="n"/>
      <c r="E69" s="107" t="n"/>
      <c r="F69" s="1578" t="n"/>
      <c r="G69" s="1537" t="n"/>
      <c r="H69" s="1537" t="n"/>
      <c r="I69" s="1555" t="n"/>
      <c r="J69" s="108" t="n"/>
      <c r="K69" s="109" t="n"/>
      <c r="L69" s="109" t="n"/>
      <c r="M69" s="109" t="n"/>
      <c r="N69" s="109" t="n"/>
      <c r="O69" s="109" t="n"/>
      <c r="P69" s="109" t="n"/>
      <c r="Q69" s="109" t="n"/>
      <c r="R69" s="109" t="n"/>
      <c r="S69" s="109" t="n"/>
      <c r="T69" s="110" t="n"/>
      <c r="U69" s="1341" t="n"/>
      <c r="V69" s="1537" t="n"/>
      <c r="W69" s="1537" t="n"/>
      <c r="X69" s="1537" t="n"/>
      <c r="Y69" s="1537" t="n"/>
      <c r="Z69" s="1537" t="n"/>
      <c r="AA69" s="1537" t="n"/>
      <c r="AB69" s="1537" t="n"/>
      <c r="AC69" s="1537" t="n"/>
      <c r="AD69" s="1537" t="n"/>
      <c r="AE69" s="1537" t="n"/>
      <c r="AF69" s="1537" t="n"/>
      <c r="AG69" s="1537" t="n"/>
      <c r="AH69" s="1555" t="n"/>
    </row>
    <row r="70" ht="13.8" customFormat="1" customHeight="1" s="56"/>
    <row r="71" ht="13.8" customFormat="1" customHeight="1" s="56"/>
    <row r="72" ht="13.8" customFormat="1" customHeight="1" s="56"/>
    <row r="73" ht="13.8" customFormat="1" customHeight="1" s="56"/>
    <row r="74" ht="13.8" customFormat="1" customHeight="1" s="56"/>
    <row r="75" ht="13.8" customFormat="1" customHeight="1" s="56"/>
    <row r="76" ht="13.8" customFormat="1" customHeight="1" s="56"/>
    <row r="77" ht="13.8" customFormat="1" customHeight="1" s="56"/>
    <row r="78" ht="13.8" customFormat="1" customHeight="1" s="56"/>
    <row r="79" ht="13.8" customFormat="1" customHeight="1" s="56"/>
    <row r="80" ht="13.8" customFormat="1" customHeight="1" s="56"/>
    <row r="81" ht="13.8" customFormat="1" customHeight="1" s="56"/>
    <row r="82" ht="13.8" customFormat="1" customHeight="1" s="56"/>
    <row r="83" ht="13.8" customFormat="1" customHeight="1" s="56"/>
    <row r="84" ht="13.8" customFormat="1" customHeight="1" s="56"/>
    <row r="85" ht="13.8" customFormat="1" customHeight="1" s="56"/>
    <row r="86" ht="13.8" customFormat="1" customHeight="1" s="56"/>
    <row r="87" ht="13.8" customFormat="1" customHeight="1" s="56"/>
    <row r="88" ht="13.8" customFormat="1" customHeight="1" s="56"/>
    <row r="89" ht="13.8" customFormat="1" customHeight="1" s="56"/>
    <row r="90" ht="13.8" customFormat="1" customHeight="1" s="56"/>
    <row r="91" ht="13.8" customFormat="1" customHeight="1" s="56"/>
    <row r="92" ht="13.8" customFormat="1" customHeight="1" s="56"/>
    <row r="93" ht="13.8" customFormat="1" customHeight="1" s="56"/>
    <row r="94" ht="13.8" customFormat="1" customHeight="1" s="56"/>
    <row r="95" ht="13.8" customFormat="1" customHeight="1" s="56"/>
    <row r="96" ht="13.8" customFormat="1" customHeight="1" s="56"/>
    <row r="97" ht="13.8" customFormat="1" customHeight="1" s="56"/>
    <row r="98" ht="13.8" customFormat="1" customHeight="1" s="56"/>
    <row r="99" ht="13.8" customFormat="1" customHeight="1" s="56"/>
    <row r="100" ht="13.8" customFormat="1" customHeight="1" s="56"/>
    <row r="101" ht="13.8" customFormat="1" customHeight="1" s="56"/>
    <row r="102" ht="13.8" customFormat="1" customHeight="1" s="56"/>
    <row r="103" ht="13.8" customFormat="1" customHeight="1" s="56"/>
    <row r="104" ht="13.8" customFormat="1" customHeight="1" s="56"/>
    <row r="105" ht="13.8" customFormat="1" customHeight="1" s="56"/>
    <row r="106" ht="13.8" customFormat="1" customHeight="1" s="56"/>
    <row r="107" ht="13.8" customFormat="1" customHeight="1" s="56"/>
    <row r="108" ht="13.8" customFormat="1" customHeight="1" s="56"/>
    <row r="109" ht="13.8" customFormat="1" customHeight="1" s="56"/>
    <row r="110" ht="13.8" customFormat="1" customHeight="1" s="56"/>
    <row r="111" ht="13.8" customFormat="1" customHeight="1" s="56"/>
    <row r="112" ht="13.8" customFormat="1" customHeight="1" s="56"/>
    <row r="113" ht="13.8" customFormat="1" customHeight="1" s="56"/>
    <row r="114" ht="13.8" customFormat="1" customHeight="1" s="56"/>
    <row r="115" ht="13.8" customFormat="1" customHeight="1" s="56"/>
    <row r="116" ht="13.8" customFormat="1" customHeight="1" s="56"/>
    <row r="117" ht="13.8" customFormat="1" customHeight="1" s="56"/>
    <row r="118" ht="13.8" customFormat="1" customHeight="1" s="56"/>
    <row r="119" ht="13.8" customFormat="1" customHeight="1" s="56"/>
    <row r="120" ht="13.8" customFormat="1" customHeight="1" s="56"/>
    <row r="121" ht="13.8" customFormat="1" customHeight="1" s="56"/>
    <row r="122" ht="13.8" customFormat="1" customHeight="1" s="56"/>
    <row r="123" ht="13.8" customFormat="1" customHeight="1" s="56"/>
    <row r="124" ht="13.8" customFormat="1" customHeight="1" s="56"/>
    <row r="125" ht="13.8" customFormat="1" customHeight="1" s="56"/>
  </sheetData>
  <mergeCells count="228">
    <mergeCell ref="B18:AE18"/>
    <mergeCell ref="H21:M21"/>
    <mergeCell ref="T48:AA48"/>
    <mergeCell ref="R28:R31"/>
    <mergeCell ref="AC43:AH43"/>
    <mergeCell ref="AC58:AH58"/>
    <mergeCell ref="T32:AA32"/>
    <mergeCell ref="B23:J23"/>
    <mergeCell ref="S57:AA57"/>
    <mergeCell ref="F66:H66"/>
    <mergeCell ref="AC39:AH39"/>
    <mergeCell ref="P15:V15"/>
    <mergeCell ref="AC42:AH42"/>
    <mergeCell ref="L51:Q51"/>
    <mergeCell ref="B38:J38"/>
    <mergeCell ref="AC34:AH34"/>
    <mergeCell ref="AC29:AH29"/>
    <mergeCell ref="J20:U20"/>
    <mergeCell ref="L54:Q54"/>
    <mergeCell ref="S51:S53"/>
    <mergeCell ref="L41:Q41"/>
    <mergeCell ref="L50:Q50"/>
    <mergeCell ref="AC44:AH44"/>
    <mergeCell ref="B40:J40"/>
    <mergeCell ref="AC22:AH22"/>
    <mergeCell ref="A5:O5"/>
    <mergeCell ref="B49:J49"/>
    <mergeCell ref="AF17:AH17"/>
    <mergeCell ref="L56:Q56"/>
    <mergeCell ref="L34:Q34"/>
    <mergeCell ref="B55:J55"/>
    <mergeCell ref="AC59:AH59"/>
    <mergeCell ref="S30:AA30"/>
    <mergeCell ref="B24:J24"/>
    <mergeCell ref="AC6:AH6"/>
    <mergeCell ref="B33:J33"/>
    <mergeCell ref="L52:Q52"/>
    <mergeCell ref="C21:G21"/>
    <mergeCell ref="B51:J51"/>
    <mergeCell ref="AC51:AH51"/>
    <mergeCell ref="L49:Q49"/>
    <mergeCell ref="Z63:AH63"/>
    <mergeCell ref="L27:Q27"/>
    <mergeCell ref="A15:A19"/>
    <mergeCell ref="B32:J32"/>
    <mergeCell ref="L36:Q36"/>
    <mergeCell ref="B26:J26"/>
    <mergeCell ref="A62:I64"/>
    <mergeCell ref="B41:J41"/>
    <mergeCell ref="B35:J35"/>
    <mergeCell ref="AC48:AH48"/>
    <mergeCell ref="S22:AA22"/>
    <mergeCell ref="W20:AF20"/>
    <mergeCell ref="A53:A54"/>
    <mergeCell ref="AC32:AH32"/>
    <mergeCell ref="B25:J25"/>
    <mergeCell ref="S46:AA46"/>
    <mergeCell ref="L28:Q28"/>
    <mergeCell ref="AC47:AH47"/>
    <mergeCell ref="B27:J27"/>
    <mergeCell ref="A8:O9"/>
    <mergeCell ref="S39:AA39"/>
    <mergeCell ref="K10:O14"/>
    <mergeCell ref="N21:S21"/>
    <mergeCell ref="AC24:AH24"/>
    <mergeCell ref="AC33:AH33"/>
    <mergeCell ref="S23:AA23"/>
    <mergeCell ref="S38:AA38"/>
    <mergeCell ref="T49:AA49"/>
    <mergeCell ref="L23:Q23"/>
    <mergeCell ref="B53:J53"/>
    <mergeCell ref="AC26:AH26"/>
    <mergeCell ref="R19:S19"/>
    <mergeCell ref="L55:Q55"/>
    <mergeCell ref="AC35:AH35"/>
    <mergeCell ref="T21:Y21"/>
    <mergeCell ref="I19:O19"/>
    <mergeCell ref="L38:Q38"/>
    <mergeCell ref="F60:I60"/>
    <mergeCell ref="S40:AA40"/>
    <mergeCell ref="B29:J29"/>
    <mergeCell ref="B17:AE17"/>
    <mergeCell ref="T47:AA47"/>
    <mergeCell ref="B37:J37"/>
    <mergeCell ref="AC25:AH25"/>
    <mergeCell ref="S24:AA24"/>
    <mergeCell ref="L40:Q40"/>
    <mergeCell ref="P9:AH14"/>
    <mergeCell ref="G1:W4"/>
    <mergeCell ref="R32:R57"/>
    <mergeCell ref="A22:A32"/>
    <mergeCell ref="U60:Y63"/>
    <mergeCell ref="T51:AA51"/>
    <mergeCell ref="S50:AA50"/>
    <mergeCell ref="B19:F19"/>
    <mergeCell ref="AF18:AH18"/>
    <mergeCell ref="AC52:AH52"/>
    <mergeCell ref="B54:J54"/>
    <mergeCell ref="B6:C6"/>
    <mergeCell ref="S32:S35"/>
    <mergeCell ref="AC45:AH45"/>
    <mergeCell ref="R22:R27"/>
    <mergeCell ref="A20:H20"/>
    <mergeCell ref="L57:Q57"/>
    <mergeCell ref="AC37:AH37"/>
    <mergeCell ref="W15:AB15"/>
    <mergeCell ref="S42:AA42"/>
    <mergeCell ref="U64:AH64"/>
    <mergeCell ref="B56:J56"/>
    <mergeCell ref="I59:J59"/>
    <mergeCell ref="T52:AA52"/>
    <mergeCell ref="L53:Q53"/>
    <mergeCell ref="B43:J43"/>
    <mergeCell ref="B58:J58"/>
    <mergeCell ref="B52:J52"/>
    <mergeCell ref="AC15:AH15"/>
    <mergeCell ref="A59:H59"/>
    <mergeCell ref="B42:J42"/>
    <mergeCell ref="T33:AA33"/>
    <mergeCell ref="AC23:AH23"/>
    <mergeCell ref="S28:AA28"/>
    <mergeCell ref="U6:AB6"/>
    <mergeCell ref="B57:J57"/>
    <mergeCell ref="S37:AA37"/>
    <mergeCell ref="L39:Q39"/>
    <mergeCell ref="L45:Q45"/>
    <mergeCell ref="L30:Q30"/>
    <mergeCell ref="D7:F7"/>
    <mergeCell ref="K59:M59"/>
    <mergeCell ref="T53:AA53"/>
    <mergeCell ref="B44:J44"/>
    <mergeCell ref="T35:AA35"/>
    <mergeCell ref="W16:AB16"/>
    <mergeCell ref="L29:Q29"/>
    <mergeCell ref="AC54:AH54"/>
    <mergeCell ref="B34:J34"/>
    <mergeCell ref="U65:AH69"/>
    <mergeCell ref="B28:J28"/>
    <mergeCell ref="AC50:AH50"/>
    <mergeCell ref="L44:Q44"/>
    <mergeCell ref="L22:Q22"/>
    <mergeCell ref="A55:A58"/>
    <mergeCell ref="S47:S49"/>
    <mergeCell ref="L31:Q31"/>
    <mergeCell ref="AC56:AH56"/>
    <mergeCell ref="A10:J14"/>
    <mergeCell ref="S55:AA55"/>
    <mergeCell ref="B15:G15"/>
    <mergeCell ref="B30:J30"/>
    <mergeCell ref="L46:Q46"/>
    <mergeCell ref="A21:B21"/>
    <mergeCell ref="R59:AA59"/>
    <mergeCell ref="AC49:AH49"/>
    <mergeCell ref="B45:J45"/>
    <mergeCell ref="AC27:AH27"/>
    <mergeCell ref="S54:AA54"/>
    <mergeCell ref="AC36:AH36"/>
    <mergeCell ref="S26:AA26"/>
    <mergeCell ref="S41:AA41"/>
    <mergeCell ref="L48:Q48"/>
    <mergeCell ref="P19:Q19"/>
    <mergeCell ref="AG62:AH62"/>
    <mergeCell ref="B47:J47"/>
    <mergeCell ref="AF8:AG8"/>
    <mergeCell ref="S56:AA56"/>
    <mergeCell ref="B16:G16"/>
    <mergeCell ref="S25:AA25"/>
    <mergeCell ref="S43:AA43"/>
    <mergeCell ref="Z62:AF62"/>
    <mergeCell ref="B46:J46"/>
    <mergeCell ref="AC28:AH28"/>
    <mergeCell ref="S27:AA27"/>
    <mergeCell ref="AD1:AH4"/>
    <mergeCell ref="L43:Q43"/>
    <mergeCell ref="B39:J39"/>
    <mergeCell ref="P16:V16"/>
    <mergeCell ref="D6:F6"/>
    <mergeCell ref="B48:J48"/>
    <mergeCell ref="N59:Q59"/>
    <mergeCell ref="AC30:AH30"/>
    <mergeCell ref="L24:Q24"/>
    <mergeCell ref="AC53:AH53"/>
    <mergeCell ref="L33:Q33"/>
    <mergeCell ref="S7:U7"/>
    <mergeCell ref="X1:AC4"/>
    <mergeCell ref="L42:Q42"/>
    <mergeCell ref="A33:A46"/>
    <mergeCell ref="G6:O6"/>
    <mergeCell ref="L26:Q26"/>
    <mergeCell ref="Z21:AB21"/>
    <mergeCell ref="AC55:AH55"/>
    <mergeCell ref="L35:Q35"/>
    <mergeCell ref="L58:Q58"/>
    <mergeCell ref="AC38:AH38"/>
    <mergeCell ref="AB19:AH19"/>
    <mergeCell ref="R58:AA58"/>
    <mergeCell ref="L25:Q25"/>
    <mergeCell ref="F69:I69"/>
    <mergeCell ref="AC31:AH31"/>
    <mergeCell ref="AC46:AH46"/>
    <mergeCell ref="G19:H19"/>
    <mergeCell ref="I15:O15"/>
    <mergeCell ref="AC40:AH40"/>
    <mergeCell ref="S36:AA36"/>
    <mergeCell ref="P6:T6"/>
    <mergeCell ref="S45:AA45"/>
    <mergeCell ref="H61:I61"/>
    <mergeCell ref="AC21:AH21"/>
    <mergeCell ref="S29:AA29"/>
    <mergeCell ref="A1:F4"/>
    <mergeCell ref="B36:J36"/>
    <mergeCell ref="B50:J50"/>
    <mergeCell ref="S44:AA44"/>
    <mergeCell ref="AC41:AH41"/>
    <mergeCell ref="S31:AA31"/>
    <mergeCell ref="I16:O16"/>
    <mergeCell ref="A47:A52"/>
    <mergeCell ref="AC16:AH16"/>
    <mergeCell ref="AF7:AG7"/>
    <mergeCell ref="L32:Q32"/>
    <mergeCell ref="AC57:AH57"/>
    <mergeCell ref="L37:Q37"/>
    <mergeCell ref="B22:J22"/>
    <mergeCell ref="T19:AA19"/>
    <mergeCell ref="T34:AA34"/>
    <mergeCell ref="B31:J31"/>
    <mergeCell ref="L47:Q47"/>
    <mergeCell ref="Z60:AH61"/>
  </mergeCells>
  <dataValidations disablePrompts="1" count="4">
    <dataValidation sqref="E60" showDropDown="0" showInputMessage="1" showErrorMessage="1" allowBlank="1" type="list">
      <formula1>$AI$22:$AI$35</formula1>
    </dataValidation>
    <dataValidation sqref="H16" showDropDown="0" showInputMessage="1" showErrorMessage="1" allowBlank="1" type="list">
      <formula1>$AI$82:$AI$91</formula1>
    </dataValidation>
    <dataValidation sqref="I20 V20 AG20" showDropDown="0" showInputMessage="1" showErrorMessage="1" allowBlank="1" type="list">
      <formula1>$AI$71:$AI$71</formula1>
    </dataValidation>
    <dataValidation sqref="G65 I66" showDropDown="0" showInputMessage="1" showErrorMessage="1" allowBlank="1" type="list">
      <formula1>$AI$5:$AI$7</formula1>
    </dataValidation>
  </dataValidations>
  <pageMargins left="0.7" right="0.7" top="0.75" bottom="0.75" header="0.3" footer="0.3"/>
  <pageSetup orientation="portrait" paperSize="119" horizontalDpi="1200" verticalDpi="1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Mary</dc:creator>
  <dcterms:created xmlns:dcterms="http://purl.org/dc/terms/" xmlns:xsi="http://www.w3.org/2001/XMLSchema-instance" xsi:type="dcterms:W3CDTF">2018-04-03T17:17:55Z</dcterms:created>
  <dcterms:modified xmlns:dcterms="http://purl.org/dc/terms/" xmlns:xsi="http://www.w3.org/2001/XMLSchema-instance" xsi:type="dcterms:W3CDTF">2026-04-02T00:28:59Z</dcterms:modified>
  <cp:lastModifiedBy>JADRI SAS</cp:lastModifiedBy>
</cp:coreProperties>
</file>